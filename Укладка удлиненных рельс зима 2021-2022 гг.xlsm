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-105" yWindow="-105" windowWidth="19335" windowHeight="7725"/>
  </bookViews>
  <sheets>
    <sheet name="Замена рельсов" sheetId="4" r:id="rId1"/>
    <sheet name="Сводная смена рубок" sheetId="6" r:id="rId2"/>
  </sheets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</externalReferences>
  <definedNames>
    <definedName name="\">[1]Данные!$J$1:$J$3</definedName>
    <definedName name="_xlnm._FilterDatabase" localSheetId="0" hidden="1">'Замена рельсов'!$A$18:$AD$321</definedName>
    <definedName name="napravl">[2]списки!$B$2:$B$172</definedName>
    <definedName name="neisp">[2]списки!$F$2:$F$20</definedName>
    <definedName name="pch">[2]списки!$E$2:$E$35</definedName>
    <definedName name="reg">[3]списки!$D$2:$D$8</definedName>
    <definedName name="vust">[2]списки!$H$2:$H$25</definedName>
    <definedName name="гво">[4]Данные!$D$1:$D$3</definedName>
    <definedName name="гео">[4]Данные!$J$1:$J$3</definedName>
    <definedName name="дарья">#REF!</definedName>
    <definedName name="Дата">#REF!</definedName>
    <definedName name="жэ">[1]Данные!$D$1:$D$3</definedName>
    <definedName name="_xlnm.Print_Titles" localSheetId="0">'Замена рельсов'!$16:$18</definedName>
    <definedName name="л">#REF!</definedName>
    <definedName name="люба">#REF!</definedName>
    <definedName name="Напр">#REF!</definedName>
    <definedName name="НаправленияВсе">#REF!</definedName>
    <definedName name="нее">[5]Данные!$G$1:$G$33</definedName>
    <definedName name="Неиспр">OFFSET(#REF!,0,0,COUNTA(#REF!),1)</definedName>
    <definedName name="нч_п" localSheetId="1">#REF!</definedName>
    <definedName name="нч_п">#REF!</definedName>
    <definedName name="_xlnm.Print_Area" localSheetId="0">'Замена рельсов'!$A$14:$AD$341</definedName>
    <definedName name="ООО">#REF!</definedName>
    <definedName name="пп">[6]Данные!$D$1:$D$3</definedName>
    <definedName name="Приказ">#REF!</definedName>
    <definedName name="Проверка">#REF!</definedName>
    <definedName name="ПС">#REF!</definedName>
    <definedName name="ПЧ">#REF!</definedName>
    <definedName name="Регион">#REF!</definedName>
    <definedName name="цп">[7]Данные!$D$1:$D$3</definedName>
    <definedName name="ч_п" localSheetId="1">#REF!</definedName>
    <definedName name="ч_п">#REF!</definedName>
    <definedName name="Шпалы">#REF!</definedName>
    <definedName name="ы">#REF!</definedName>
  </definedNames>
  <calcPr calcId="125725"/>
</workbook>
</file>

<file path=xl/calcChain.xml><?xml version="1.0" encoding="utf-8"?>
<calcChain xmlns="http://schemas.openxmlformats.org/spreadsheetml/2006/main">
  <c r="S21" i="4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S209"/>
  <c r="S210"/>
  <c r="S211"/>
  <c r="S212"/>
  <c r="S213"/>
  <c r="S214"/>
  <c r="S215"/>
  <c r="S216"/>
  <c r="S217"/>
  <c r="S218"/>
  <c r="S219"/>
  <c r="S220"/>
  <c r="S221"/>
  <c r="S222"/>
  <c r="S223"/>
  <c r="S224"/>
  <c r="S225"/>
  <c r="S226"/>
  <c r="S227"/>
  <c r="S228"/>
  <c r="S229"/>
  <c r="S230"/>
  <c r="S231"/>
  <c r="S232"/>
  <c r="S233"/>
  <c r="S234"/>
  <c r="S235"/>
  <c r="S236"/>
  <c r="S237"/>
  <c r="S238"/>
  <c r="S239"/>
  <c r="S240"/>
  <c r="S241"/>
  <c r="S242"/>
  <c r="S243"/>
  <c r="S244"/>
  <c r="S245"/>
  <c r="S246"/>
  <c r="S247"/>
  <c r="S248"/>
  <c r="S249"/>
  <c r="S250"/>
  <c r="S251"/>
  <c r="S252"/>
  <c r="S253"/>
  <c r="S254"/>
  <c r="S255"/>
  <c r="S256"/>
  <c r="S257"/>
  <c r="S258"/>
  <c r="S259"/>
  <c r="S260"/>
  <c r="S261"/>
  <c r="S262"/>
  <c r="S263"/>
  <c r="S264"/>
  <c r="S265"/>
  <c r="S266"/>
  <c r="S267"/>
  <c r="S268"/>
  <c r="S269"/>
  <c r="S270"/>
  <c r="S271"/>
  <c r="S272"/>
  <c r="S273"/>
  <c r="S274"/>
  <c r="S275"/>
  <c r="S276"/>
  <c r="S277"/>
  <c r="S278"/>
  <c r="S279"/>
  <c r="S280"/>
  <c r="S281"/>
  <c r="S282"/>
  <c r="S283"/>
  <c r="S284"/>
  <c r="S285"/>
  <c r="S286"/>
  <c r="S287"/>
  <c r="S288"/>
  <c r="S289"/>
  <c r="S290"/>
  <c r="S291"/>
  <c r="S292"/>
  <c r="S293"/>
  <c r="S294"/>
  <c r="S295"/>
  <c r="S296"/>
  <c r="S297"/>
  <c r="S298"/>
  <c r="S299"/>
  <c r="S300"/>
  <c r="S301"/>
  <c r="S302"/>
  <c r="S303"/>
  <c r="S304"/>
  <c r="S305"/>
  <c r="S306"/>
  <c r="S307"/>
  <c r="S308"/>
  <c r="S309"/>
  <c r="S310"/>
  <c r="S311"/>
  <c r="S312"/>
  <c r="S313"/>
  <c r="S314"/>
  <c r="S315"/>
  <c r="S316"/>
  <c r="S317"/>
  <c r="S318"/>
  <c r="S319"/>
  <c r="S320"/>
  <c r="S321"/>
  <c r="Q151" l="1"/>
  <c r="Q166"/>
  <c r="Q251"/>
  <c r="Q321"/>
  <c r="Q320"/>
  <c r="Q319"/>
  <c r="Q318"/>
  <c r="Q317"/>
  <c r="Q316"/>
  <c r="Q315"/>
  <c r="Q314"/>
  <c r="Q313"/>
  <c r="Q312"/>
  <c r="Q311"/>
  <c r="Q310"/>
  <c r="Q309"/>
  <c r="Q307"/>
  <c r="Q306"/>
  <c r="Q305"/>
  <c r="Q304"/>
  <c r="Q303"/>
  <c r="Q302"/>
  <c r="Q301"/>
  <c r="Q300"/>
  <c r="Q299"/>
  <c r="Q298"/>
  <c r="Q297"/>
  <c r="Q296"/>
  <c r="Q294"/>
  <c r="Q291"/>
  <c r="Q289"/>
  <c r="Q288"/>
  <c r="Q287"/>
  <c r="Q286"/>
  <c r="Q285"/>
  <c r="Q284"/>
  <c r="Q283"/>
  <c r="Q282"/>
  <c r="Q281"/>
  <c r="Q280"/>
  <c r="Q279"/>
  <c r="Q278"/>
  <c r="Q277"/>
  <c r="Q276"/>
  <c r="Q275"/>
  <c r="Q274"/>
  <c r="Q273"/>
  <c r="Q272"/>
  <c r="Q271"/>
  <c r="Q270"/>
  <c r="Q269"/>
  <c r="Q268"/>
  <c r="Q266"/>
  <c r="Q264"/>
  <c r="Q265"/>
  <c r="Q263"/>
  <c r="Q262"/>
  <c r="Q260"/>
  <c r="Q261"/>
  <c r="Q259"/>
  <c r="Q258"/>
  <c r="Q257"/>
  <c r="Q256"/>
  <c r="Q255"/>
  <c r="Q254"/>
  <c r="Q253"/>
  <c r="Q252"/>
  <c r="Q250"/>
  <c r="Q249"/>
  <c r="Q248"/>
  <c r="Q247"/>
  <c r="Q246"/>
  <c r="Q245"/>
  <c r="Q244"/>
  <c r="Q243"/>
  <c r="Q242"/>
  <c r="Q241"/>
  <c r="Q240"/>
  <c r="Q239"/>
  <c r="Q238"/>
  <c r="Q237"/>
  <c r="Q235"/>
  <c r="Q234"/>
  <c r="Q233"/>
  <c r="Q232"/>
  <c r="Q231"/>
  <c r="Q230"/>
  <c r="Q229"/>
  <c r="Q228"/>
  <c r="Q227"/>
  <c r="Q226"/>
  <c r="Q225"/>
  <c r="Q224"/>
  <c r="Q223"/>
  <c r="Q222"/>
  <c r="Q221"/>
  <c r="Q220"/>
  <c r="Q219"/>
  <c r="Q218"/>
  <c r="Q217"/>
  <c r="Q216"/>
  <c r="Q214"/>
  <c r="Q213"/>
  <c r="Q212"/>
  <c r="Q211"/>
  <c r="Q210"/>
  <c r="Q209"/>
  <c r="Q208"/>
  <c r="Q207"/>
  <c r="Q206"/>
  <c r="Q205"/>
  <c r="Q204"/>
  <c r="Q203"/>
  <c r="Q202"/>
  <c r="Q201"/>
  <c r="Q200"/>
  <c r="Q199"/>
  <c r="Q198"/>
  <c r="Q197"/>
  <c r="Q196"/>
  <c r="Q195"/>
  <c r="Q194"/>
  <c r="Q193"/>
  <c r="Q192"/>
  <c r="Q191"/>
  <c r="Q190"/>
  <c r="Q189"/>
  <c r="Q188"/>
  <c r="Q187"/>
  <c r="Q186"/>
  <c r="Q185"/>
  <c r="Q184"/>
  <c r="Q183"/>
  <c r="Q182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2"/>
  <c r="Q153"/>
  <c r="Q154"/>
  <c r="Q155"/>
  <c r="Q156"/>
  <c r="Q157"/>
  <c r="Q158"/>
  <c r="Q159"/>
  <c r="Q160"/>
  <c r="Q161"/>
  <c r="Q162"/>
  <c r="Q163"/>
  <c r="Q164"/>
  <c r="Q165"/>
  <c r="Q167"/>
  <c r="Q168"/>
  <c r="Q169"/>
  <c r="Q170"/>
  <c r="Q171"/>
  <c r="Q172"/>
  <c r="Q173"/>
  <c r="Q174"/>
  <c r="Q175"/>
  <c r="Q176"/>
  <c r="Q177"/>
  <c r="Q178"/>
  <c r="Q179"/>
  <c r="Q180"/>
  <c r="Q127"/>
  <c r="Q126"/>
  <c r="Q125"/>
  <c r="Q124"/>
  <c r="Q123"/>
  <c r="Q122"/>
  <c r="Q121"/>
  <c r="Q120"/>
  <c r="Q119"/>
  <c r="Q118"/>
  <c r="Q117"/>
  <c r="Q116"/>
  <c r="Q114"/>
  <c r="Q113"/>
  <c r="Q111"/>
  <c r="Q110"/>
  <c r="Q109"/>
  <c r="Q108"/>
  <c r="Q107"/>
  <c r="Q105"/>
  <c r="Q104"/>
  <c r="Q103"/>
  <c r="Q102"/>
  <c r="Q101"/>
  <c r="Q100"/>
  <c r="Q99"/>
  <c r="Q98"/>
  <c r="Q97"/>
  <c r="Q96"/>
  <c r="Q95"/>
  <c r="Q94"/>
  <c r="Q93"/>
  <c r="Q92"/>
  <c r="Q91"/>
  <c r="Q90"/>
  <c r="Q89"/>
  <c r="Q88"/>
  <c r="Q87"/>
  <c r="Q86"/>
  <c r="Q84"/>
  <c r="Q83"/>
  <c r="Q82"/>
  <c r="Q81"/>
  <c r="Q80"/>
  <c r="Q79"/>
  <c r="Q78"/>
  <c r="Q77"/>
  <c r="Q76"/>
  <c r="Q75"/>
  <c r="Q74"/>
  <c r="Q73"/>
  <c r="Q72"/>
  <c r="Q71"/>
  <c r="Q70"/>
  <c r="Q69"/>
  <c r="Q68"/>
  <c r="Q67"/>
  <c r="Q66"/>
  <c r="Q65"/>
  <c r="Q63"/>
  <c r="Q47"/>
  <c r="Q48"/>
  <c r="Q49"/>
  <c r="Q50"/>
  <c r="Q51"/>
  <c r="Q52"/>
  <c r="Q53"/>
  <c r="Q54"/>
  <c r="Q55"/>
  <c r="Q56"/>
  <c r="Q57"/>
  <c r="Q58"/>
  <c r="Q59"/>
  <c r="Q60"/>
  <c r="Q61"/>
  <c r="Q62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S20" l="1"/>
  <c r="A2" i="6" l="1"/>
  <c r="Q308" i="4" l="1"/>
  <c r="Q292" l="1"/>
  <c r="Q64"/>
  <c r="E11" i="6" l="1"/>
  <c r="F11"/>
  <c r="G11"/>
  <c r="H11"/>
  <c r="I11"/>
  <c r="J11"/>
  <c r="K11"/>
  <c r="L11"/>
  <c r="M11"/>
  <c r="N11"/>
  <c r="O11"/>
  <c r="E12"/>
  <c r="F12"/>
  <c r="G12"/>
  <c r="H12"/>
  <c r="I12"/>
  <c r="J12"/>
  <c r="K12"/>
  <c r="L12"/>
  <c r="M12"/>
  <c r="N12"/>
  <c r="O12"/>
  <c r="D12"/>
  <c r="D11"/>
  <c r="D7" l="1"/>
  <c r="E7"/>
  <c r="F7"/>
  <c r="G7"/>
  <c r="H7"/>
  <c r="I7"/>
  <c r="J7"/>
  <c r="K7"/>
  <c r="L7"/>
  <c r="M7"/>
  <c r="N7"/>
  <c r="O7"/>
  <c r="E10" l="1"/>
  <c r="E13" s="1"/>
  <c r="F10"/>
  <c r="F13" s="1"/>
  <c r="G10"/>
  <c r="G13" s="1"/>
  <c r="H10"/>
  <c r="H13" s="1"/>
  <c r="I10"/>
  <c r="I13" s="1"/>
  <c r="J10"/>
  <c r="J13" s="1"/>
  <c r="K10"/>
  <c r="K13" s="1"/>
  <c r="L10"/>
  <c r="L13" s="1"/>
  <c r="M10"/>
  <c r="M13" s="1"/>
  <c r="N10"/>
  <c r="N13" s="1"/>
  <c r="O10"/>
  <c r="O13" s="1"/>
  <c r="D10"/>
  <c r="D13" s="1"/>
  <c r="P9"/>
  <c r="P8"/>
  <c r="P6"/>
  <c r="P5"/>
  <c r="P7"/>
  <c r="P11" l="1"/>
  <c r="P10"/>
  <c r="P13" s="1"/>
  <c r="P12"/>
  <c r="S19" i="4"/>
  <c r="Q236"/>
  <c r="Q215"/>
  <c r="Q181"/>
  <c r="Q128"/>
  <c r="Q115"/>
  <c r="Q46"/>
  <c r="Q19"/>
</calcChain>
</file>

<file path=xl/sharedStrings.xml><?xml version="1.0" encoding="utf-8"?>
<sst xmlns="http://schemas.openxmlformats.org/spreadsheetml/2006/main" count="772" uniqueCount="77">
  <si>
    <t>ПЧ</t>
  </si>
  <si>
    <t>Перегон, станция</t>
  </si>
  <si>
    <t>Путь</t>
  </si>
  <si>
    <t>ПК</t>
  </si>
  <si>
    <t>I</t>
  </si>
  <si>
    <t>II</t>
  </si>
  <si>
    <t>III</t>
  </si>
  <si>
    <t>№п/п</t>
  </si>
  <si>
    <t xml:space="preserve">Дата замены </t>
  </si>
  <si>
    <t>Т рельс при измерении зазоров</t>
  </si>
  <si>
    <t xml:space="preserve">№ предупреждения </t>
  </si>
  <si>
    <t>км</t>
  </si>
  <si>
    <t>до смены</t>
  </si>
  <si>
    <t>после смены</t>
  </si>
  <si>
    <t>До смены рельса</t>
  </si>
  <si>
    <t xml:space="preserve">После смены рельса </t>
  </si>
  <si>
    <t>МВВП</t>
  </si>
  <si>
    <t>уравнительный рельс</t>
  </si>
  <si>
    <t>звеньевой путь</t>
  </si>
  <si>
    <t>Разница длин рельсов, м</t>
  </si>
  <si>
    <t>УТВЕРЖДАЮ</t>
  </si>
  <si>
    <t>Регион</t>
  </si>
  <si>
    <t>Количество повторов замены</t>
  </si>
  <si>
    <t>Привязка рельса (путь,км,пк,м)</t>
  </si>
  <si>
    <t>Нитка</t>
  </si>
  <si>
    <t>Длина рельса, м</t>
  </si>
  <si>
    <t>Зазоры рельса, мм</t>
  </si>
  <si>
    <t>Должность, ФИО руководителя производившего замену рельса</t>
  </si>
  <si>
    <t>БП-1634 - Кабарга</t>
  </si>
  <si>
    <t>П</t>
  </si>
  <si>
    <t/>
  </si>
  <si>
    <t>Л</t>
  </si>
  <si>
    <t>ст. Кабарга</t>
  </si>
  <si>
    <t>Кабарга - Шмаковка</t>
  </si>
  <si>
    <t>ст. Шмаковка</t>
  </si>
  <si>
    <t>Шмаковка - Сунгач</t>
  </si>
  <si>
    <t>ст. Сунгач</t>
  </si>
  <si>
    <t>Сунгач - Свиягино</t>
  </si>
  <si>
    <t>ст. Свиягино</t>
  </si>
  <si>
    <t>Свиягино - Спасск-Дальний</t>
  </si>
  <si>
    <t>ст. Спасск-Дальний</t>
  </si>
  <si>
    <t>Спасск-Дальний - Старый Ключ</t>
  </si>
  <si>
    <t>ст. Старый Ключ</t>
  </si>
  <si>
    <t>Старый Ключ - Кнорринг</t>
  </si>
  <si>
    <t>ст. Кнорринг</t>
  </si>
  <si>
    <t>Кнорринг - Мучная</t>
  </si>
  <si>
    <t>ст. Мучная</t>
  </si>
  <si>
    <t>Мучная - Сибирцево</t>
  </si>
  <si>
    <t>инфраструктуры</t>
  </si>
  <si>
    <t xml:space="preserve">Начальник Дальневосточной дирекции </t>
  </si>
  <si>
    <t>С.В. Максимцев</t>
  </si>
  <si>
    <t>"_____" _______________ 2019 г.</t>
  </si>
  <si>
    <t>Дальневосточной дирекции инфраструктуры</t>
  </si>
  <si>
    <t>В.В. Минаев</t>
  </si>
  <si>
    <t>Первый заместитель начальника службы пути</t>
  </si>
  <si>
    <t>СОГЛАСОВАНО:</t>
  </si>
  <si>
    <t>ПД</t>
  </si>
  <si>
    <t>Изъятие удлиненных рельс, штук рельс</t>
  </si>
  <si>
    <t>ПЧ-9</t>
  </si>
  <si>
    <t>Требуется</t>
  </si>
  <si>
    <t>Осталось</t>
  </si>
  <si>
    <t>в ур.пролетах</t>
  </si>
  <si>
    <t>в местах МВВ</t>
  </si>
  <si>
    <t>всего</t>
  </si>
  <si>
    <t>Заменено</t>
  </si>
  <si>
    <t>-</t>
  </si>
  <si>
    <t>Место расположения рельса</t>
  </si>
  <si>
    <t>Начальник Спасск-Дальненской дистанции пути                                          С.А. Давыденко</t>
  </si>
  <si>
    <t>исп. ПЧИ Сизов И.С.</t>
  </si>
  <si>
    <t>тел. 35-403</t>
  </si>
  <si>
    <t>Начальник Спасск-Дальненской дистанции пути                                        С.А. Давыденко</t>
  </si>
  <si>
    <t>уложенного осенью</t>
  </si>
  <si>
    <t>Изъятие удлиненных рельс в границе Спасск-Дальненской дистанции пути</t>
  </si>
  <si>
    <t>Адресный план УКЛАДКИ УДЛИНЕННЫХ рельсов</t>
  </si>
  <si>
    <t>уложенного весной</t>
  </si>
  <si>
    <t>Длина уложенного рельса осенью</t>
  </si>
  <si>
    <t>Планируемая дата УКЛАДКИ удлиненного рельса</t>
  </si>
</sst>
</file>

<file path=xl/styles.xml><?xml version="1.0" encoding="utf-8"?>
<styleSheet xmlns="http://schemas.openxmlformats.org/spreadsheetml/2006/main">
  <numFmts count="1">
    <numFmt numFmtId="164" formatCode="_(&quot;$&quot;* #,##0.00_);_(&quot;$&quot;* \(#,##0.00\);_(&quot;$&quot;* &quot;-&quot;??_);_(@_)"/>
  </numFmts>
  <fonts count="30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"/>
      <family val="2"/>
      <charset val="204"/>
    </font>
    <font>
      <sz val="11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0"/>
      <color theme="1"/>
      <name val="Arial"/>
      <family val="2"/>
      <charset val="204"/>
    </font>
    <font>
      <b/>
      <sz val="18"/>
      <color indexed="8"/>
      <name val="Times New Roman"/>
      <family val="1"/>
      <charset val="204"/>
    </font>
    <font>
      <sz val="18"/>
      <color indexed="8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0"/>
      <name val="Arial Cyr"/>
      <family val="2"/>
      <charset val="204"/>
    </font>
    <font>
      <sz val="14"/>
      <name val="Times New Roman"/>
      <family val="1"/>
      <charset val="204"/>
    </font>
    <font>
      <b/>
      <sz val="24"/>
      <color indexed="8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6"/>
      <name val="Times New Roman"/>
      <family val="1"/>
      <charset val="204"/>
    </font>
    <font>
      <sz val="10"/>
      <name val="Arial"/>
      <family val="2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sz val="11"/>
      <color rgb="FF000000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6"/>
      <color theme="1"/>
      <name val="Times New Roman"/>
      <family val="1"/>
      <charset val="204"/>
    </font>
    <font>
      <b/>
      <sz val="20"/>
      <name val="Times New Roman"/>
      <family val="1"/>
      <charset val="204"/>
    </font>
    <font>
      <sz val="12"/>
      <name val="Arial Cyr"/>
      <charset val="204"/>
    </font>
  </fonts>
  <fills count="1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88">
    <xf numFmtId="0" fontId="0" fillId="0" borderId="0"/>
    <xf numFmtId="0" fontId="3" fillId="0" borderId="0"/>
    <xf numFmtId="0" fontId="3" fillId="0" borderId="0"/>
    <xf numFmtId="0" fontId="4" fillId="0" borderId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4" fillId="12" borderId="0" applyNumberFormat="0" applyBorder="0" applyAlignment="0" applyProtection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4" fillId="15" borderId="0" applyNumberFormat="0" applyBorder="0" applyAlignment="0" applyProtection="0"/>
    <xf numFmtId="0" fontId="3" fillId="0" borderId="0"/>
    <xf numFmtId="0" fontId="1" fillId="0" borderId="0"/>
    <xf numFmtId="0" fontId="1" fillId="0" borderId="0"/>
    <xf numFmtId="0" fontId="3" fillId="0" borderId="0"/>
    <xf numFmtId="0" fontId="15" fillId="0" borderId="0"/>
    <xf numFmtId="0" fontId="4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3" fillId="0" borderId="0"/>
    <xf numFmtId="0" fontId="4" fillId="0" borderId="0"/>
    <xf numFmtId="0" fontId="21" fillId="0" borderId="0"/>
    <xf numFmtId="164" fontId="4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</cellStyleXfs>
  <cellXfs count="98">
    <xf numFmtId="0" fontId="0" fillId="0" borderId="0" xfId="0"/>
    <xf numFmtId="0" fontId="5" fillId="0" borderId="0" xfId="2" applyFont="1"/>
    <xf numFmtId="0" fontId="10" fillId="0" borderId="0" xfId="2" applyFont="1" applyAlignment="1">
      <alignment horizontal="center" vertical="center" wrapText="1"/>
    </xf>
    <xf numFmtId="1" fontId="10" fillId="0" borderId="0" xfId="2" applyNumberFormat="1" applyFont="1" applyAlignment="1">
      <alignment horizontal="center" vertical="center" wrapText="1"/>
    </xf>
    <xf numFmtId="0" fontId="3" fillId="0" borderId="0" xfId="2"/>
    <xf numFmtId="0" fontId="10" fillId="0" borderId="0" xfId="2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0" borderId="0" xfId="0" applyFont="1" applyFill="1" applyAlignment="1">
      <alignment horizontal="center" vertical="center" wrapText="1"/>
    </xf>
    <xf numFmtId="0" fontId="9" fillId="0" borderId="0" xfId="2" applyFont="1" applyAlignment="1">
      <alignment horizontal="center" vertical="center"/>
    </xf>
    <xf numFmtId="0" fontId="18" fillId="0" borderId="0" xfId="0" applyFont="1" applyFill="1" applyBorder="1" applyAlignment="1">
      <alignment vertical="center"/>
    </xf>
    <xf numFmtId="0" fontId="18" fillId="0" borderId="7" xfId="0" applyFont="1" applyBorder="1" applyAlignment="1">
      <alignment vertical="center"/>
    </xf>
    <xf numFmtId="0" fontId="18" fillId="0" borderId="7" xfId="0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vertical="center" wrapText="1"/>
    </xf>
    <xf numFmtId="0" fontId="22" fillId="0" borderId="0" xfId="0" applyFont="1"/>
    <xf numFmtId="0" fontId="22" fillId="0" borderId="0" xfId="0" applyFont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22" fillId="0" borderId="20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2" fillId="0" borderId="24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3" fillId="0" borderId="11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5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0" fontId="23" fillId="0" borderId="27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22" fillId="0" borderId="27" xfId="0" applyFont="1" applyBorder="1" applyAlignment="1">
      <alignment horizontal="center" vertical="center"/>
    </xf>
    <xf numFmtId="0" fontId="22" fillId="0" borderId="28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22" fillId="0" borderId="31" xfId="0" applyFont="1" applyBorder="1" applyAlignment="1">
      <alignment horizontal="center" vertical="center"/>
    </xf>
    <xf numFmtId="0" fontId="22" fillId="0" borderId="32" xfId="0" applyFont="1" applyBorder="1" applyAlignment="1">
      <alignment horizontal="center" vertical="center"/>
    </xf>
    <xf numFmtId="0" fontId="22" fillId="0" borderId="33" xfId="0" applyFont="1" applyBorder="1" applyAlignment="1">
      <alignment horizontal="center" vertical="center"/>
    </xf>
    <xf numFmtId="0" fontId="16" fillId="0" borderId="1" xfId="2" applyFont="1" applyFill="1" applyBorder="1" applyAlignment="1">
      <alignment horizontal="center" vertical="center" wrapText="1"/>
    </xf>
    <xf numFmtId="0" fontId="20" fillId="0" borderId="1" xfId="2" applyFont="1" applyFill="1" applyBorder="1" applyAlignment="1">
      <alignment horizontal="center" vertical="center" wrapText="1"/>
    </xf>
    <xf numFmtId="2" fontId="16" fillId="0" borderId="1" xfId="2" applyNumberFormat="1" applyFont="1" applyFill="1" applyBorder="1" applyAlignment="1">
      <alignment horizontal="center" vertical="center"/>
    </xf>
    <xf numFmtId="0" fontId="19" fillId="0" borderId="1" xfId="2" applyFont="1" applyFill="1" applyBorder="1" applyAlignment="1">
      <alignment horizontal="center" vertical="center" wrapText="1"/>
    </xf>
    <xf numFmtId="0" fontId="3" fillId="0" borderId="0" xfId="2" applyFill="1" applyAlignment="1">
      <alignment wrapText="1"/>
    </xf>
    <xf numFmtId="14" fontId="16" fillId="0" borderId="1" xfId="2" applyNumberFormat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wrapText="1"/>
    </xf>
    <xf numFmtId="0" fontId="3" fillId="0" borderId="1" xfId="2" applyFill="1" applyBorder="1" applyAlignment="1">
      <alignment wrapText="1"/>
    </xf>
    <xf numFmtId="0" fontId="16" fillId="0" borderId="1" xfId="2" applyFont="1" applyFill="1" applyBorder="1" applyAlignment="1">
      <alignment horizontal="center" wrapText="1"/>
    </xf>
    <xf numFmtId="0" fontId="26" fillId="0" borderId="1" xfId="2" applyFont="1" applyFill="1" applyBorder="1" applyAlignment="1">
      <alignment horizontal="center" wrapText="1"/>
    </xf>
    <xf numFmtId="14" fontId="10" fillId="0" borderId="0" xfId="2" applyNumberFormat="1" applyFont="1" applyAlignment="1">
      <alignment horizontal="center" vertical="center" wrapText="1"/>
    </xf>
    <xf numFmtId="0" fontId="11" fillId="16" borderId="1" xfId="2" applyFont="1" applyFill="1" applyBorder="1" applyAlignment="1">
      <alignment horizontal="center" vertical="center" wrapText="1"/>
    </xf>
    <xf numFmtId="0" fontId="11" fillId="17" borderId="1" xfId="2" applyFont="1" applyFill="1" applyBorder="1" applyAlignment="1">
      <alignment horizontal="center" vertical="center" wrapText="1"/>
    </xf>
    <xf numFmtId="0" fontId="29" fillId="0" borderId="0" xfId="2" applyFont="1"/>
    <xf numFmtId="0" fontId="11" fillId="16" borderId="1" xfId="2" applyFont="1" applyFill="1" applyBorder="1" applyAlignment="1">
      <alignment horizontal="center" vertical="center" wrapText="1"/>
    </xf>
    <xf numFmtId="0" fontId="11" fillId="16" borderId="1" xfId="2" applyFont="1" applyFill="1" applyBorder="1" applyAlignment="1">
      <alignment horizontal="center" vertical="center" wrapText="1"/>
    </xf>
    <xf numFmtId="0" fontId="11" fillId="17" borderId="1" xfId="2" applyFont="1" applyFill="1" applyBorder="1" applyAlignment="1">
      <alignment horizontal="center" vertical="center" wrapText="1"/>
    </xf>
    <xf numFmtId="0" fontId="28" fillId="0" borderId="0" xfId="2" applyFont="1" applyAlignment="1">
      <alignment horizontal="center"/>
    </xf>
    <xf numFmtId="0" fontId="17" fillId="0" borderId="0" xfId="2" applyFont="1" applyAlignment="1">
      <alignment horizontal="center" vertical="center" wrapText="1"/>
    </xf>
    <xf numFmtId="0" fontId="12" fillId="16" borderId="1" xfId="2" applyFont="1" applyFill="1" applyBorder="1" applyAlignment="1">
      <alignment horizontal="center" vertical="center" wrapText="1"/>
    </xf>
    <xf numFmtId="0" fontId="12" fillId="17" borderId="1" xfId="2" applyFont="1" applyFill="1" applyBorder="1" applyAlignment="1">
      <alignment horizontal="center" vertical="center" wrapText="1"/>
    </xf>
    <xf numFmtId="1" fontId="11" fillId="16" borderId="1" xfId="2" applyNumberFormat="1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14" fontId="22" fillId="0" borderId="15" xfId="0" applyNumberFormat="1" applyFont="1" applyBorder="1" applyAlignment="1">
      <alignment horizontal="center" vertical="center"/>
    </xf>
    <xf numFmtId="0" fontId="22" fillId="0" borderId="27" xfId="0" applyFont="1" applyBorder="1" applyAlignment="1">
      <alignment horizontal="center" vertical="center"/>
    </xf>
    <xf numFmtId="0" fontId="22" fillId="0" borderId="28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2" fillId="0" borderId="10" xfId="0" applyFont="1" applyBorder="1" applyAlignment="1">
      <alignment horizontal="center" vertical="center" wrapText="1"/>
    </xf>
    <xf numFmtId="0" fontId="22" fillId="0" borderId="11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0" fontId="22" fillId="0" borderId="16" xfId="0" applyFont="1" applyBorder="1" applyAlignment="1">
      <alignment horizontal="center" vertical="center" wrapText="1"/>
    </xf>
    <xf numFmtId="0" fontId="22" fillId="0" borderId="4" xfId="0" applyFont="1" applyBorder="1" applyAlignment="1">
      <alignment horizontal="center" vertical="center" wrapText="1"/>
    </xf>
    <xf numFmtId="0" fontId="22" fillId="0" borderId="6" xfId="0" applyFont="1" applyBorder="1" applyAlignment="1">
      <alignment horizontal="center" vertical="center" wrapText="1"/>
    </xf>
    <xf numFmtId="0" fontId="23" fillId="0" borderId="13" xfId="0" applyFont="1" applyBorder="1" applyAlignment="1">
      <alignment horizontal="center" vertical="center"/>
    </xf>
    <xf numFmtId="0" fontId="23" fillId="0" borderId="11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19" xfId="0" applyFont="1" applyBorder="1" applyAlignment="1">
      <alignment horizontal="center" vertical="center"/>
    </xf>
  </cellXfs>
  <cellStyles count="88">
    <cellStyle name="20% — акцент1" xfId="4"/>
    <cellStyle name="20% — акцент2" xfId="5"/>
    <cellStyle name="20% — акцент3" xfId="6"/>
    <cellStyle name="20% — акцент4" xfId="7"/>
    <cellStyle name="20% — акцент5" xfId="8"/>
    <cellStyle name="20% — акцент6" xfId="9"/>
    <cellStyle name="40% — акцент1" xfId="10"/>
    <cellStyle name="40% — акцент2" xfId="11"/>
    <cellStyle name="40% — акцент3" xfId="12"/>
    <cellStyle name="40% — акцент4" xfId="13"/>
    <cellStyle name="40% — акцент5" xfId="14"/>
    <cellStyle name="40% — акцент6" xfId="15"/>
    <cellStyle name="60% — акцент1" xfId="16"/>
    <cellStyle name="60% — акцент2" xfId="17"/>
    <cellStyle name="60% — акцент3" xfId="18"/>
    <cellStyle name="60% — акцент4" xfId="19"/>
    <cellStyle name="60% — акцент5" xfId="20"/>
    <cellStyle name="60% — акцент6" xfId="21"/>
    <cellStyle name="Денежный 2" xfId="67"/>
    <cellStyle name="Обычный" xfId="0" builtinId="0"/>
    <cellStyle name="Обычный 10" xfId="2"/>
    <cellStyle name="Обычный 10 2" xfId="22"/>
    <cellStyle name="Обычный 14" xfId="23"/>
    <cellStyle name="Обычный 2" xfId="1"/>
    <cellStyle name="Обычный 2 10" xfId="24"/>
    <cellStyle name="Обычный 2 2" xfId="25"/>
    <cellStyle name="Обычный 2 2 2" xfId="26"/>
    <cellStyle name="Обычный 2 3" xfId="27"/>
    <cellStyle name="Обычный 2 4" xfId="28"/>
    <cellStyle name="Обычный 2 5" xfId="29"/>
    <cellStyle name="Обычный 2 6" xfId="30"/>
    <cellStyle name="Обычный 2 7" xfId="31"/>
    <cellStyle name="Обычный 2 8" xfId="32"/>
    <cellStyle name="Обычный 2 9" xfId="33"/>
    <cellStyle name="Обычный 23" xfId="34"/>
    <cellStyle name="Обычный 24" xfId="35"/>
    <cellStyle name="Обычный 25" xfId="36"/>
    <cellStyle name="Обычный 26" xfId="37"/>
    <cellStyle name="Обычный 28" xfId="38"/>
    <cellStyle name="Обычный 29" xfId="39"/>
    <cellStyle name="Обычный 3" xfId="3"/>
    <cellStyle name="Обычный 3 2" xfId="40"/>
    <cellStyle name="Обычный 3 3" xfId="64"/>
    <cellStyle name="Обычный 31" xfId="41"/>
    <cellStyle name="Обычный 32" xfId="42"/>
    <cellStyle name="Обычный 33" xfId="43"/>
    <cellStyle name="Обычный 34" xfId="44"/>
    <cellStyle name="Обычный 35" xfId="45"/>
    <cellStyle name="Обычный 36" xfId="46"/>
    <cellStyle name="Обычный 38" xfId="47"/>
    <cellStyle name="Обычный 39" xfId="48"/>
    <cellStyle name="Обычный 4" xfId="49"/>
    <cellStyle name="Обычный 4 10" xfId="68"/>
    <cellStyle name="Обычный 4 2" xfId="50"/>
    <cellStyle name="Обычный 4 2 2" xfId="69"/>
    <cellStyle name="Обычный 4 2 2 2" xfId="70"/>
    <cellStyle name="Обычный 4 2 3" xfId="71"/>
    <cellStyle name="Обычный 4 2 3 2" xfId="72"/>
    <cellStyle name="Обычный 4 2 4" xfId="73"/>
    <cellStyle name="Обычный 4 3" xfId="74"/>
    <cellStyle name="Обычный 4 3 2" xfId="75"/>
    <cellStyle name="Обычный 4 4" xfId="76"/>
    <cellStyle name="Обычный 4 4 2" xfId="77"/>
    <cellStyle name="Обычный 4 5" xfId="78"/>
    <cellStyle name="Обычный 4 5 2" xfId="79"/>
    <cellStyle name="Обычный 4 6" xfId="80"/>
    <cellStyle name="Обычный 4 7" xfId="81"/>
    <cellStyle name="Обычный 4 8" xfId="82"/>
    <cellStyle name="Обычный 4 9" xfId="83"/>
    <cellStyle name="Обычный 40" xfId="51"/>
    <cellStyle name="Обычный 41" xfId="52"/>
    <cellStyle name="Обычный 42" xfId="53"/>
    <cellStyle name="Обычный 43" xfId="54"/>
    <cellStyle name="Обычный 44" xfId="55"/>
    <cellStyle name="Обычный 46" xfId="56"/>
    <cellStyle name="Обычный 47" xfId="57"/>
    <cellStyle name="Обычный 5" xfId="58"/>
    <cellStyle name="Обычный 5 2" xfId="65"/>
    <cellStyle name="Обычный 5 2 2" xfId="84"/>
    <cellStyle name="Обычный 5 3" xfId="85"/>
    <cellStyle name="Обычный 6" xfId="66"/>
    <cellStyle name="Обычный 6 2" xfId="87"/>
    <cellStyle name="Обычный 63" xfId="59"/>
    <cellStyle name="Обычный 64" xfId="60"/>
    <cellStyle name="Обычный 65" xfId="61"/>
    <cellStyle name="Обычный 7" xfId="62"/>
    <cellStyle name="Обычный 8" xfId="63"/>
    <cellStyle name="Процентный 2" xfId="8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3.xml"/><Relationship Id="rId10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DICDM_LukovkinIV\&#1056;&#1072;&#1073;&#1086;&#1095;&#1080;&#1081;%20&#1089;&#1090;&#1086;&#1083;\&#1054;&#1058;&#1063;&#1045;&#1058;&#1067;%20&#1077;&#1078;&#1077;&#1089;&#1091;&#1090;&#1086;&#1095;&#1085;&#1099;&#1077;\&#1054;&#1082;&#1090;&#1103;&#1073;&#1088;&#1100;\07.10.17\&#1054;&#1044;&#1055;%20&#1072;&#1087;&#1088;&#1077;&#1083;&#1100;%202017%20(2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&#1054;&#1058;&#1044;&#1045;&#1051;&#1067;\!&#1054;&#1040;&#1057;&#1055;\&#1056;&#1072;&#1073;&#1086;&#1090;&#1072;%20&#1062;&#1053;&#1048;&#1048;-4\&#1057;&#1091;&#1090;&#1082;&#1080;\2014\09%20&#1089;&#1077;&#1085;&#1090;&#1103;&#1073;&#1088;&#1100;\11.09.14\&#1054;&#1075;&#1088;&#1072;&#1085;&#1080;&#1095;&#1077;&#1085;&#1080;&#1103;%20&#1089;&#1077;&#1085;&#1090;&#1103;&#1073;&#1088;&#1100;%202014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&#1054;&#1058;&#1044;&#1045;&#1051;&#1067;\!&#1054;&#1040;&#1057;&#1055;\&#1056;&#1072;&#1073;&#1086;&#1090;&#1072;%20&#1062;&#1053;&#1048;&#1048;-4\&#1057;&#1091;&#1090;&#1082;&#1080;\2014\09%20&#1089;&#1077;&#1085;&#1090;&#1103;&#1073;&#1088;&#1100;\15.09.14\&#1053;&#1072;%20&#1089;&#1077;&#1088;&#1074;&#1077;&#1088;_2014_09_14\&#1044;&#1083;&#1103;%20&#1055;&#1062;&#1044;\&#1054;&#1075;&#1088;&#1072;&#1085;&#1080;&#1095;&#1077;&#1085;&#1080;&#1103;%20&#1089;&#1077;&#1085;&#1090;&#1103;&#1073;&#1088;&#1100;%202014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DICDM_LukovkinIV\&#1056;&#1072;&#1073;&#1086;&#1095;&#1080;&#1081;%20&#1089;&#1090;&#1086;&#1083;\&#1054;&#1058;&#1063;&#1045;&#1058;&#1067;%20&#1077;&#1078;&#1077;&#1089;&#1091;&#1090;&#1086;&#1095;&#1085;&#1099;&#1077;\&#1054;&#1082;&#1090;&#1103;&#1073;&#1088;&#1100;\07.10.17\&#1054;&#1044;&#1055;%20&#1072;&#1087;&#1088;&#1077;&#1083;&#1100;%202017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DICDM_LukovkinIV\Local%20Settings\Temporary%20Internet%20Files\Content.Outlook\9T4IFG81\odp%20&#1055;&#1057;%20&#1072;&#1087;&#1088;&#1077;&#1083;&#1100;%20&#1055;&#1057;%20007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DICDM_LukovkinIV\Local%20Settings\Temporary%20Internet%20Files\Content.Outlook\3MV636YE\odp%20&#1055;&#1057;%20043%20%20&#1072;&#1087;&#1088;&#1077;&#1083;&#1100;%201%20&#1089;&#1084;&#1077;&#1085;&#1072;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DICDM_LukovkinIV\Local%20Settings\Temporary%20Internet%20Files\Content.Outlook\3MV636YE\odp%20&#1055;&#1057;%20&#1072;&#1087;&#1077;&#1088;&#1083;&#1100;%20&#1055;&#1057;%20007%20(4)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  <cell r="J1" t="str">
            <v>р</v>
          </cell>
        </row>
        <row r="2">
          <cell r="D2" t="str">
            <v>ж/б до 1996 г.</v>
          </cell>
          <cell r="J2" t="str">
            <v>к</v>
          </cell>
        </row>
        <row r="3">
          <cell r="D3" t="str">
            <v>ж/б после 1996 г.</v>
          </cell>
          <cell r="J3" t="str">
            <v>д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Ограничения скорости ЦП-515"/>
      <sheetName val="Ведомость отступлений доп.парам"/>
      <sheetName val="списки"/>
    </sheetNames>
    <sheetDataSet>
      <sheetData sheetId="0"/>
      <sheetData sheetId="1"/>
      <sheetData sheetId="2">
        <row r="2">
          <cell r="B2" t="str">
            <v>Москва-Александров</v>
          </cell>
          <cell r="E2">
            <v>1</v>
          </cell>
          <cell r="F2" t="str">
            <v>зазор л</v>
          </cell>
          <cell r="H2" t="str">
            <v>140/90</v>
          </cell>
        </row>
        <row r="3">
          <cell r="B3" t="str">
            <v>Софрино-Красноармейск</v>
          </cell>
          <cell r="E3">
            <v>2</v>
          </cell>
          <cell r="F3" t="str">
            <v>зазор п</v>
          </cell>
          <cell r="H3" t="str">
            <v>140/80</v>
          </cell>
        </row>
        <row r="4">
          <cell r="B4" t="str">
            <v>Москва-Петушки</v>
          </cell>
          <cell r="E4">
            <v>5</v>
          </cell>
          <cell r="F4" t="str">
            <v>износ рельса бок.</v>
          </cell>
          <cell r="H4" t="str">
            <v>130/80</v>
          </cell>
        </row>
        <row r="5">
          <cell r="B5" t="str">
            <v>Дрезна-Орехово</v>
          </cell>
          <cell r="E5">
            <v>7</v>
          </cell>
          <cell r="F5" t="str">
            <v>уширение</v>
          </cell>
          <cell r="H5" t="str">
            <v>120/80</v>
          </cell>
        </row>
        <row r="6">
          <cell r="B6" t="str">
            <v>Орехово-Воиново</v>
          </cell>
          <cell r="E6">
            <v>8</v>
          </cell>
          <cell r="F6" t="str">
            <v>сужение</v>
          </cell>
          <cell r="H6" t="str">
            <v>115/80</v>
          </cell>
        </row>
        <row r="7">
          <cell r="B7" t="str">
            <v>Реутово-Балашиха</v>
          </cell>
          <cell r="E7">
            <v>9</v>
          </cell>
          <cell r="F7" t="str">
            <v>перекос</v>
          </cell>
          <cell r="H7" t="str">
            <v>110/80</v>
          </cell>
        </row>
        <row r="8">
          <cell r="B8" t="str">
            <v>Фрязево-Захарово</v>
          </cell>
          <cell r="E8">
            <v>11</v>
          </cell>
          <cell r="F8" t="str">
            <v>рихтовка</v>
          </cell>
          <cell r="H8" t="str">
            <v>105/80</v>
          </cell>
        </row>
        <row r="9">
          <cell r="B9" t="str">
            <v>Павловский Посад-Электрогорск</v>
          </cell>
          <cell r="E9">
            <v>12</v>
          </cell>
          <cell r="F9" t="str">
            <v>прос. п</v>
          </cell>
          <cell r="H9" t="str">
            <v>100/80</v>
          </cell>
        </row>
        <row r="10">
          <cell r="B10" t="str">
            <v>Люберцы-Черусти</v>
          </cell>
          <cell r="E10">
            <v>14</v>
          </cell>
          <cell r="F10" t="str">
            <v>прос. л</v>
          </cell>
          <cell r="H10" t="str">
            <v>100/60</v>
          </cell>
        </row>
        <row r="11">
          <cell r="B11" t="str">
            <v>Кривандино-Рязановка</v>
          </cell>
          <cell r="E11">
            <v>16</v>
          </cell>
          <cell r="F11" t="str">
            <v>уровень</v>
          </cell>
          <cell r="H11" t="str">
            <v>95/80</v>
          </cell>
        </row>
        <row r="12">
          <cell r="B12" t="str">
            <v>Москва-Рязань I</v>
          </cell>
          <cell r="E12">
            <v>17</v>
          </cell>
          <cell r="F12" t="str">
            <v>ПРЖ</v>
          </cell>
          <cell r="H12" t="str">
            <v>90/80</v>
          </cell>
        </row>
        <row r="13">
          <cell r="B13" t="str">
            <v>Рязань II - Ряжск</v>
          </cell>
          <cell r="E13">
            <v>18</v>
          </cell>
          <cell r="F13" t="str">
            <v>профил. прос.п</v>
          </cell>
          <cell r="H13" t="str">
            <v>90/70</v>
          </cell>
        </row>
        <row r="14">
          <cell r="B14" t="str">
            <v>Рыбное-Пост 204км</v>
          </cell>
          <cell r="E14">
            <v>19</v>
          </cell>
          <cell r="F14" t="str">
            <v>профил. прос.л</v>
          </cell>
          <cell r="H14" t="str">
            <v>85/80</v>
          </cell>
        </row>
        <row r="15">
          <cell r="B15" t="str">
            <v>Перово-Андроновка</v>
          </cell>
          <cell r="E15">
            <v>21</v>
          </cell>
          <cell r="F15" t="str">
            <v>Р+П</v>
          </cell>
          <cell r="H15" t="str">
            <v>85/70</v>
          </cell>
        </row>
        <row r="16">
          <cell r="B16" t="str">
            <v>1 ветвь Воскресенского узла</v>
          </cell>
          <cell r="E16">
            <v>22</v>
          </cell>
          <cell r="F16" t="str">
            <v>анп</v>
          </cell>
          <cell r="H16" t="str">
            <v>80/80</v>
          </cell>
        </row>
        <row r="17">
          <cell r="B17" t="str">
            <v>Голутвин-Озеры</v>
          </cell>
          <cell r="E17">
            <v>24</v>
          </cell>
          <cell r="F17" t="str">
            <v>износ рельса бок.(не раб.гр.)</v>
          </cell>
          <cell r="H17" t="str">
            <v>80/70</v>
          </cell>
        </row>
        <row r="18">
          <cell r="B18" t="str">
            <v>Луховицы-Зарайск</v>
          </cell>
          <cell r="E18">
            <v>25</v>
          </cell>
          <cell r="F18" t="str">
            <v>износ рельса бок.(не упор.н.)</v>
          </cell>
          <cell r="H18" t="str">
            <v>80/60</v>
          </cell>
        </row>
        <row r="19">
          <cell r="B19" t="str">
            <v>Стенькино I - Лесок</v>
          </cell>
          <cell r="E19">
            <v>27</v>
          </cell>
          <cell r="F19" t="str">
            <v>рихтовка (по не упор.н.)</v>
          </cell>
          <cell r="H19" t="str">
            <v>75/60</v>
          </cell>
        </row>
        <row r="20">
          <cell r="B20" t="str">
            <v>Стенькино I - Стенькино II</v>
          </cell>
          <cell r="E20">
            <v>30</v>
          </cell>
          <cell r="F20" t="str">
            <v>зазор л,п</v>
          </cell>
          <cell r="H20" t="str">
            <v>75/55</v>
          </cell>
        </row>
        <row r="21">
          <cell r="B21" t="str">
            <v>Цемзаводовская ветвь</v>
          </cell>
          <cell r="E21">
            <v>32</v>
          </cell>
          <cell r="H21" t="str">
            <v>70/70</v>
          </cell>
        </row>
        <row r="22">
          <cell r="B22" t="str">
            <v>Москва-Ожерелье</v>
          </cell>
          <cell r="E22">
            <v>33</v>
          </cell>
          <cell r="H22" t="str">
            <v>70/60</v>
          </cell>
        </row>
        <row r="23">
          <cell r="B23" t="str">
            <v>Маклец-Бобрик Донской</v>
          </cell>
          <cell r="E23">
            <v>36</v>
          </cell>
          <cell r="H23" t="str">
            <v>60/60</v>
          </cell>
        </row>
        <row r="24">
          <cell r="B24" t="str">
            <v>Ожерелье-Ефремов-Елец</v>
          </cell>
          <cell r="E24">
            <v>38</v>
          </cell>
          <cell r="H24" t="str">
            <v>50/40</v>
          </cell>
        </row>
        <row r="25">
          <cell r="B25" t="str">
            <v>Бирюлево пасс.-Царицино</v>
          </cell>
          <cell r="E25">
            <v>39</v>
          </cell>
          <cell r="H25" t="str">
            <v>40/40</v>
          </cell>
        </row>
        <row r="26">
          <cell r="B26" t="str">
            <v>Домодедово-Аэропорт</v>
          </cell>
          <cell r="E26">
            <v>40</v>
          </cell>
        </row>
        <row r="27">
          <cell r="B27" t="str">
            <v>БП 205км-Новомосковская</v>
          </cell>
          <cell r="E27">
            <v>42</v>
          </cell>
        </row>
        <row r="28">
          <cell r="B28" t="str">
            <v>Москва-Курск</v>
          </cell>
          <cell r="E28">
            <v>43</v>
          </cell>
        </row>
        <row r="29">
          <cell r="B29" t="str">
            <v>Протвинская ветвь</v>
          </cell>
          <cell r="E29">
            <v>45</v>
          </cell>
        </row>
        <row r="30">
          <cell r="B30" t="str">
            <v>Серпухов I - Серпухов II</v>
          </cell>
          <cell r="E30">
            <v>47</v>
          </cell>
        </row>
        <row r="31">
          <cell r="B31" t="str">
            <v>Плеханово-Тула I</v>
          </cell>
          <cell r="E31">
            <v>48</v>
          </cell>
        </row>
        <row r="32">
          <cell r="B32" t="str">
            <v>Тула I - Тула III</v>
          </cell>
          <cell r="E32">
            <v>50</v>
          </cell>
        </row>
        <row r="33">
          <cell r="B33" t="str">
            <v>Тула I - Тула Лихвинская</v>
          </cell>
          <cell r="E33">
            <v>51</v>
          </cell>
        </row>
        <row r="34">
          <cell r="B34" t="str">
            <v>Москва-Брянск II</v>
          </cell>
          <cell r="E34">
            <v>53</v>
          </cell>
        </row>
        <row r="35">
          <cell r="B35" t="str">
            <v>Козелкино-Брянск I</v>
          </cell>
          <cell r="E35">
            <v>44</v>
          </cell>
        </row>
        <row r="36">
          <cell r="B36" t="str">
            <v>Брянск II - Зерново</v>
          </cell>
        </row>
        <row r="37">
          <cell r="B37" t="str">
            <v>Лесной городок-Аэропорт "Внуково"</v>
          </cell>
        </row>
        <row r="38">
          <cell r="B38" t="str">
            <v>Полпинская-Брянск I</v>
          </cell>
        </row>
        <row r="39">
          <cell r="B39" t="str">
            <v>Брянск II Зап.пост-Брянск II Юж.пост</v>
          </cell>
        </row>
        <row r="40">
          <cell r="B40" t="str">
            <v>Брянск I - Брянск II</v>
          </cell>
        </row>
        <row r="41">
          <cell r="B41" t="str">
            <v>Брянск II - Брянск I</v>
          </cell>
        </row>
        <row r="42">
          <cell r="B42" t="str">
            <v>Москва-Смоленск Ц.</v>
          </cell>
        </row>
        <row r="43">
          <cell r="B43" t="str">
            <v>Москва Товарная-Фили</v>
          </cell>
        </row>
        <row r="44">
          <cell r="B44" t="str">
            <v>Смоленск Ц.-Красное</v>
          </cell>
        </row>
        <row r="45">
          <cell r="B45" t="str">
            <v>Усовская ветвь</v>
          </cell>
        </row>
        <row r="46">
          <cell r="B46" t="str">
            <v>Звенигородская ветвь</v>
          </cell>
        </row>
        <row r="47">
          <cell r="B47" t="str">
            <v>Кубинка I - Пост 209км</v>
          </cell>
        </row>
        <row r="48">
          <cell r="B48" t="str">
            <v>Дурово-Владимирский тупик</v>
          </cell>
        </row>
        <row r="49">
          <cell r="B49" t="str">
            <v>Сафоново-Дорогобуж</v>
          </cell>
        </row>
        <row r="50">
          <cell r="B50" t="str">
            <v>Ракитная-Гнездово</v>
          </cell>
        </row>
        <row r="51">
          <cell r="B51" t="str">
            <v>Москва-Шаховская</v>
          </cell>
        </row>
        <row r="52">
          <cell r="B52" t="str">
            <v>Манихинские ветви</v>
          </cell>
        </row>
        <row r="53">
          <cell r="B53" t="str">
            <v>Манихино I - Манихино II</v>
          </cell>
        </row>
        <row r="54">
          <cell r="B54" t="str">
            <v>Москва-Савелово</v>
          </cell>
        </row>
        <row r="55">
          <cell r="B55" t="str">
            <v>Вербилки-Дубна</v>
          </cell>
        </row>
        <row r="56">
          <cell r="B56" t="str">
            <v>Лобня-Шереметьево</v>
          </cell>
        </row>
        <row r="57">
          <cell r="B57" t="str">
            <v>Москва Кур.-Москва Смол.</v>
          </cell>
        </row>
        <row r="58">
          <cell r="B58" t="str">
            <v>Малое Окр.Кольцо (МОК)</v>
          </cell>
        </row>
        <row r="59">
          <cell r="B59" t="str">
            <v>Мытищи-Фрязево</v>
          </cell>
        </row>
        <row r="60">
          <cell r="B60" t="str">
            <v>Щербинка(кольцо)</v>
          </cell>
        </row>
        <row r="61">
          <cell r="B61" t="str">
            <v>Лобня-Шереметьево</v>
          </cell>
        </row>
        <row r="62">
          <cell r="B62" t="str">
            <v>Лихоборы-Ховрино</v>
          </cell>
        </row>
        <row r="63">
          <cell r="B63" t="str">
            <v>Ветвь 4 МОК Владыкино-Бескудниково</v>
          </cell>
        </row>
        <row r="64">
          <cell r="B64" t="str">
            <v>Ветвь 6 МОК Ростокино-Лосиноостровская</v>
          </cell>
        </row>
        <row r="65">
          <cell r="B65" t="str">
            <v>Ветвь 6 МОК Ростокино-Лосиноостровская</v>
          </cell>
        </row>
        <row r="66">
          <cell r="B66" t="str">
            <v>Ветвь 7 МОК Белокаменная-Лосиноостровская</v>
          </cell>
        </row>
        <row r="67">
          <cell r="B67" t="str">
            <v>Ветвь 9 МОК Андроновка-Перово</v>
          </cell>
        </row>
        <row r="68">
          <cell r="B68" t="str">
            <v>Ветвь 10 МОК Лефортово-Кусково</v>
          </cell>
        </row>
        <row r="69">
          <cell r="B69" t="str">
            <v>Ветвь 11 МОК Андроновка-Кусково</v>
          </cell>
        </row>
        <row r="70">
          <cell r="B70" t="str">
            <v>Ветвь 15 МОК</v>
          </cell>
        </row>
        <row r="71">
          <cell r="B71" t="str">
            <v>Ветвь 16 МОК Угрешская-Люблино</v>
          </cell>
        </row>
        <row r="72">
          <cell r="B72" t="str">
            <v>Ветвь 17 МОК</v>
          </cell>
        </row>
        <row r="73">
          <cell r="B73" t="str">
            <v>Канатчиково-Коломенское</v>
          </cell>
        </row>
        <row r="74">
          <cell r="B74" t="str">
            <v>Канатчиково-Москва Пав.</v>
          </cell>
        </row>
        <row r="75">
          <cell r="B75" t="str">
            <v>Ветвь 23 МОК Кутузово-Москва сорт.Киевская</v>
          </cell>
        </row>
        <row r="76">
          <cell r="B76" t="str">
            <v>Ветвь 27 МОК Пресня-Москва тов.Смоленская</v>
          </cell>
        </row>
        <row r="77">
          <cell r="B77" t="str">
            <v>Ветвь 28 МОК Серебряный бор-Подмосковная</v>
          </cell>
        </row>
        <row r="78">
          <cell r="B78" t="str">
            <v>Пресня-Октябрьские Казармы</v>
          </cell>
        </row>
        <row r="79">
          <cell r="B79" t="str">
            <v>Перовская ветвь</v>
          </cell>
        </row>
        <row r="80">
          <cell r="B80" t="str">
            <v>Южнопортовая ветвь</v>
          </cell>
        </row>
        <row r="81">
          <cell r="B81" t="str">
            <v>Болшево-Фрязино</v>
          </cell>
        </row>
        <row r="82">
          <cell r="B82" t="str">
            <v>Бельково-Кинешма</v>
          </cell>
        </row>
        <row r="83">
          <cell r="B83" t="str">
            <v>Ожерелье-Павелец</v>
          </cell>
        </row>
        <row r="84">
          <cell r="B84" t="str">
            <v>Мшанка-Павелец</v>
          </cell>
        </row>
        <row r="85">
          <cell r="B85" t="str">
            <v>Узуново-Рыбное</v>
          </cell>
        </row>
        <row r="86">
          <cell r="B86" t="str">
            <v>Плеханово-Тупик</v>
          </cell>
        </row>
        <row r="87">
          <cell r="B87" t="str">
            <v>БОК Икша-Поварово-Бекасово сорт.</v>
          </cell>
        </row>
        <row r="88">
          <cell r="B88" t="str">
            <v>БОК Бекасово сорт.-Яганово</v>
          </cell>
        </row>
        <row r="89">
          <cell r="B89" t="str">
            <v>БОК Орехово-Александров</v>
          </cell>
        </row>
        <row r="90">
          <cell r="B90" t="str">
            <v>Жилево-Яганово</v>
          </cell>
        </row>
        <row r="91">
          <cell r="B91" t="str">
            <v>БОК Яганово-Воскресенск</v>
          </cell>
        </row>
        <row r="92">
          <cell r="B92" t="str">
            <v>БОК Воскресенск-Орехово</v>
          </cell>
        </row>
        <row r="93">
          <cell r="B93" t="str">
            <v>БОК Пост 81км-Яхрома</v>
          </cell>
        </row>
        <row r="94">
          <cell r="B94" t="str">
            <v>Воскресенск-Ильинский Погост</v>
          </cell>
        </row>
        <row r="95">
          <cell r="B95" t="str">
            <v>Пост 87км-Дмитров</v>
          </cell>
        </row>
        <row r="96">
          <cell r="B96" t="str">
            <v>7 ветвь узла "Столбовая"</v>
          </cell>
        </row>
        <row r="97">
          <cell r="B97" t="str">
            <v>Александров II - Пост 108км</v>
          </cell>
        </row>
        <row r="98">
          <cell r="B98" t="str">
            <v>Пост 120км-Орехово</v>
          </cell>
        </row>
        <row r="99">
          <cell r="B99" t="str">
            <v>Нерская-Куровская</v>
          </cell>
        </row>
        <row r="100">
          <cell r="B100" t="str">
            <v>Ветвь 2 Куровская-Давыдово</v>
          </cell>
        </row>
        <row r="101">
          <cell r="B101" t="str">
            <v>Пост 61км-Шиферная</v>
          </cell>
        </row>
        <row r="102">
          <cell r="B102" t="str">
            <v>Ветвь 4 Воскресенского узла</v>
          </cell>
        </row>
        <row r="103">
          <cell r="B103" t="str">
            <v>Ветвь 6 Воскресенского узла</v>
          </cell>
        </row>
        <row r="104">
          <cell r="B104" t="str">
            <v>Ветвь 1 узла "Михнево"</v>
          </cell>
        </row>
        <row r="105">
          <cell r="B105" t="str">
            <v>Сандарово-Столбовая</v>
          </cell>
        </row>
        <row r="106">
          <cell r="B106" t="str">
            <v>Пост 66км-Детково</v>
          </cell>
        </row>
        <row r="107">
          <cell r="B107" t="str">
            <v>Детково-Столбовая</v>
          </cell>
        </row>
        <row r="108">
          <cell r="B108" t="str">
            <v>Ветвь 5 узла "Столбовая"</v>
          </cell>
        </row>
        <row r="109">
          <cell r="B109" t="str">
            <v>Ветвь 6 узла "Столбовая"</v>
          </cell>
        </row>
        <row r="110">
          <cell r="B110" t="str">
            <v>Пост 232км-Пост 64км</v>
          </cell>
        </row>
        <row r="111">
          <cell r="B111" t="str">
            <v>Бекасово I - Пост 232км</v>
          </cell>
        </row>
        <row r="112">
          <cell r="B112" t="str">
            <v>Пожитково-Бекасово I</v>
          </cell>
        </row>
        <row r="113">
          <cell r="B113" t="str">
            <v>Пожитково-Пост 64км</v>
          </cell>
        </row>
        <row r="114">
          <cell r="B114" t="str">
            <v>Пост 232км-Бекасово I</v>
          </cell>
        </row>
        <row r="115">
          <cell r="B115" t="str">
            <v>Пост 60км-Пост 232км</v>
          </cell>
        </row>
        <row r="116">
          <cell r="B116" t="str">
            <v>Кубинка I - Кубинка II</v>
          </cell>
        </row>
        <row r="117">
          <cell r="B117" t="str">
            <v>Пост 67км-Пост 209км</v>
          </cell>
        </row>
        <row r="118">
          <cell r="B118" t="str">
            <v>Пост 209км-Акуловский пост</v>
          </cell>
        </row>
        <row r="119">
          <cell r="B119" t="str">
            <v>Рязань I - Кустаревка</v>
          </cell>
        </row>
        <row r="120">
          <cell r="B120" t="str">
            <v>Листвянка-Гавердово</v>
          </cell>
        </row>
        <row r="121">
          <cell r="B121" t="str">
            <v>Перевлес-Ясаково</v>
          </cell>
        </row>
        <row r="122">
          <cell r="B122" t="str">
            <v>Ушинский-Касимов</v>
          </cell>
        </row>
        <row r="123">
          <cell r="B123" t="str">
            <v>Рязань I - Рязань II</v>
          </cell>
        </row>
        <row r="124">
          <cell r="B124" t="str">
            <v>Кустаревка-Вернадовка</v>
          </cell>
        </row>
        <row r="125">
          <cell r="B125" t="str">
            <v>Ряжск I - Пенза</v>
          </cell>
        </row>
        <row r="126">
          <cell r="B126" t="str">
            <v>Брянск-Орел</v>
          </cell>
        </row>
        <row r="127">
          <cell r="B127" t="str">
            <v>Брянск I - Смоленск</v>
          </cell>
        </row>
        <row r="128">
          <cell r="B128" t="str">
            <v>Смоленск Ц.-Заольша</v>
          </cell>
        </row>
        <row r="129">
          <cell r="B129" t="str">
            <v>Смоленск Ц.-Куприно</v>
          </cell>
        </row>
        <row r="130">
          <cell r="B130" t="str">
            <v>Брянск Вост.-Брянск II</v>
          </cell>
        </row>
        <row r="131">
          <cell r="B131" t="str">
            <v>Брянск I - Брянск Вост.</v>
          </cell>
        </row>
        <row r="132">
          <cell r="B132" t="str">
            <v>Жуковка-Клетня</v>
          </cell>
        </row>
        <row r="133">
          <cell r="B133" t="str">
            <v>Тычинино-Новосмоленская</v>
          </cell>
        </row>
        <row r="134">
          <cell r="B134" t="str">
            <v>Валутино-Сашно</v>
          </cell>
        </row>
        <row r="135">
          <cell r="B135" t="str">
            <v>Унеча-Сураж-Орша</v>
          </cell>
        </row>
        <row r="136">
          <cell r="B136" t="str">
            <v>Унеча-Витемля-Ворожба</v>
          </cell>
        </row>
        <row r="137">
          <cell r="B137" t="str">
            <v>Унеча-Брянск II Юж.пост</v>
          </cell>
        </row>
        <row r="138">
          <cell r="B138" t="str">
            <v>Жеча-Стародуб</v>
          </cell>
        </row>
        <row r="139">
          <cell r="B139" t="str">
            <v>Вязьма-Ржев</v>
          </cell>
        </row>
        <row r="140">
          <cell r="B140" t="str">
            <v>Вязьма-Брянск</v>
          </cell>
        </row>
        <row r="141">
          <cell r="B141" t="str">
            <v>Вязьма-Вязьма Новоторжская</v>
          </cell>
        </row>
        <row r="142">
          <cell r="B142" t="str">
            <v>Пунка-Чернец</v>
          </cell>
        </row>
        <row r="143">
          <cell r="B143" t="str">
            <v>Навля-Льгов</v>
          </cell>
        </row>
        <row r="144">
          <cell r="B144" t="str">
            <v>Льгов-Готня</v>
          </cell>
        </row>
        <row r="145">
          <cell r="B145" t="str">
            <v>Брянск II - Унеча - Злынка</v>
          </cell>
        </row>
        <row r="146">
          <cell r="B146" t="str">
            <v>Новозыбков-Климов</v>
          </cell>
        </row>
        <row r="147">
          <cell r="B147" t="str">
            <v>Факел-Рославль</v>
          </cell>
        </row>
        <row r="148">
          <cell r="B148" t="str">
            <v>Рославль I - Рославль II</v>
          </cell>
        </row>
        <row r="149">
          <cell r="B149" t="str">
            <v>Рославль II - Сухиничи</v>
          </cell>
        </row>
        <row r="150">
          <cell r="B150" t="str">
            <v>Курск - Льгов I - Ворожба</v>
          </cell>
        </row>
        <row r="151">
          <cell r="B151" t="str">
            <v>Курск-Касторная-Воронеж</v>
          </cell>
        </row>
        <row r="152">
          <cell r="B152" t="str">
            <v>Коренево-Рыльск</v>
          </cell>
        </row>
        <row r="153">
          <cell r="B153" t="str">
            <v>Охочевка-Колпны</v>
          </cell>
        </row>
        <row r="154">
          <cell r="B154" t="str">
            <v>Москва-Новопеределкино</v>
          </cell>
        </row>
        <row r="155">
          <cell r="B155" t="str">
            <v>Вязьма-Плеханово</v>
          </cell>
        </row>
        <row r="156">
          <cell r="B156" t="str">
            <v>Плеханово-Узловая II</v>
          </cell>
        </row>
        <row r="157">
          <cell r="B157" t="str">
            <v>Узловая I - Ряжск</v>
          </cell>
        </row>
        <row r="158">
          <cell r="B158" t="str">
            <v>Ветвь 3 Ряжск I - Ряжск II</v>
          </cell>
        </row>
        <row r="159">
          <cell r="B159" t="str">
            <v>Пост 147км-Тихонова Пустынь</v>
          </cell>
        </row>
        <row r="160">
          <cell r="B160" t="str">
            <v>Муратовка-Горенская</v>
          </cell>
        </row>
        <row r="161">
          <cell r="B161" t="str">
            <v>Муратовка-Тихонова Пустынь</v>
          </cell>
        </row>
        <row r="162">
          <cell r="B162" t="str">
            <v>Львово-Казановка</v>
          </cell>
        </row>
        <row r="163">
          <cell r="B163" t="str">
            <v>Волово-Духовская</v>
          </cell>
        </row>
        <row r="164">
          <cell r="B164" t="str">
            <v>Арбузово-Лужки-Кузмичевка</v>
          </cell>
        </row>
        <row r="165">
          <cell r="B165" t="str">
            <v>Арбузово-Пост 4км</v>
          </cell>
        </row>
        <row r="166">
          <cell r="B166" t="str">
            <v>Лужки-Семинарская</v>
          </cell>
        </row>
        <row r="167">
          <cell r="B167" t="str">
            <v>Орел-Елец</v>
          </cell>
        </row>
        <row r="168">
          <cell r="B168" t="str">
            <v>Орел-Семинарская</v>
          </cell>
        </row>
        <row r="169">
          <cell r="B169" t="str">
            <v>Лужки-Саханская</v>
          </cell>
        </row>
        <row r="170">
          <cell r="B170" t="str">
            <v>Орел-Лужки</v>
          </cell>
        </row>
        <row r="171">
          <cell r="B171" t="str">
            <v>Верховье-Мармыжи</v>
          </cell>
        </row>
        <row r="172">
          <cell r="B172" t="str">
            <v>Николаевка-Москва Яросл.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Ограничения скорости ЦП-515"/>
      <sheetName val="Ведомость отступлений доп.парам"/>
      <sheetName val="списки"/>
    </sheetNames>
    <sheetDataSet>
      <sheetData sheetId="0"/>
      <sheetData sheetId="1"/>
      <sheetData sheetId="2">
        <row r="2">
          <cell r="D2">
            <v>1</v>
          </cell>
        </row>
        <row r="3">
          <cell r="D3">
            <v>2</v>
          </cell>
        </row>
        <row r="4">
          <cell r="D4">
            <v>3</v>
          </cell>
        </row>
        <row r="5">
          <cell r="D5">
            <v>4</v>
          </cell>
        </row>
        <row r="6">
          <cell r="D6">
            <v>5</v>
          </cell>
        </row>
        <row r="7">
          <cell r="D7">
            <v>6</v>
          </cell>
        </row>
        <row r="8">
          <cell r="D8">
            <v>7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D1" t="str">
            <v>дерево</v>
          </cell>
          <cell r="J1" t="str">
            <v>р</v>
          </cell>
        </row>
        <row r="2">
          <cell r="D2" t="str">
            <v>ж/б до 1996 г.</v>
          </cell>
          <cell r="J2" t="str">
            <v>к</v>
          </cell>
        </row>
        <row r="3">
          <cell r="D3" t="str">
            <v>ж/б после 1996 г.</v>
          </cell>
          <cell r="J3" t="str">
            <v>д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G1">
            <v>1</v>
          </cell>
        </row>
        <row r="2">
          <cell r="G2">
            <v>2</v>
          </cell>
        </row>
        <row r="3">
          <cell r="G3">
            <v>5</v>
          </cell>
        </row>
        <row r="4">
          <cell r="G4">
            <v>7</v>
          </cell>
        </row>
        <row r="5">
          <cell r="G5">
            <v>8</v>
          </cell>
        </row>
        <row r="6">
          <cell r="G6">
            <v>9</v>
          </cell>
        </row>
        <row r="7">
          <cell r="G7">
            <v>11</v>
          </cell>
        </row>
        <row r="8">
          <cell r="G8">
            <v>12</v>
          </cell>
        </row>
        <row r="9">
          <cell r="G9">
            <v>14</v>
          </cell>
        </row>
        <row r="10">
          <cell r="G10">
            <v>16</v>
          </cell>
        </row>
        <row r="11">
          <cell r="G11">
            <v>17</v>
          </cell>
        </row>
        <row r="12">
          <cell r="G12">
            <v>18</v>
          </cell>
        </row>
        <row r="13">
          <cell r="G13">
            <v>19</v>
          </cell>
        </row>
        <row r="14">
          <cell r="G14">
            <v>21</v>
          </cell>
        </row>
        <row r="15">
          <cell r="G15">
            <v>22</v>
          </cell>
        </row>
        <row r="16">
          <cell r="G16">
            <v>24</v>
          </cell>
        </row>
        <row r="17">
          <cell r="G17">
            <v>25</v>
          </cell>
        </row>
        <row r="18">
          <cell r="G18">
            <v>27</v>
          </cell>
        </row>
        <row r="19">
          <cell r="G19">
            <v>30</v>
          </cell>
        </row>
        <row r="20">
          <cell r="G20">
            <v>32</v>
          </cell>
        </row>
        <row r="21">
          <cell r="G21">
            <v>33</v>
          </cell>
        </row>
        <row r="22">
          <cell r="G22">
            <v>36</v>
          </cell>
        </row>
        <row r="23">
          <cell r="G23">
            <v>38</v>
          </cell>
        </row>
        <row r="24">
          <cell r="G24">
            <v>39</v>
          </cell>
        </row>
        <row r="25">
          <cell r="G25">
            <v>40</v>
          </cell>
        </row>
        <row r="26">
          <cell r="G26">
            <v>43</v>
          </cell>
        </row>
        <row r="27">
          <cell r="G27">
            <v>44</v>
          </cell>
        </row>
        <row r="28">
          <cell r="G28">
            <v>45</v>
          </cell>
        </row>
        <row r="29">
          <cell r="G29">
            <v>47</v>
          </cell>
        </row>
        <row r="30">
          <cell r="G30">
            <v>48</v>
          </cell>
        </row>
        <row r="31">
          <cell r="G31">
            <v>51</v>
          </cell>
        </row>
        <row r="32">
          <cell r="G32">
            <v>53</v>
          </cell>
        </row>
        <row r="33">
          <cell r="G33">
            <v>55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к3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</row>
        <row r="2">
          <cell r="D2" t="str">
            <v>ж/б до 1996 г.</v>
          </cell>
        </row>
        <row r="3">
          <cell r="D3" t="str">
            <v>ж/б после 1996 г.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</row>
        <row r="2">
          <cell r="D2" t="str">
            <v>ж/б до 1996 г.</v>
          </cell>
        </row>
        <row r="3">
          <cell r="D3" t="str">
            <v>ж/б после 1996 г.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NUL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2">
    <tabColor rgb="FFFF0000"/>
    <pageSetUpPr fitToPage="1"/>
  </sheetPr>
  <dimension ref="A1:AD340"/>
  <sheetViews>
    <sheetView tabSelected="1" view="pageBreakPreview" topLeftCell="A14" zoomScale="59" zoomScaleNormal="71" zoomScaleSheetLayoutView="59" workbookViewId="0">
      <pane ySplit="5" topLeftCell="A19" activePane="bottomLeft" state="frozen"/>
      <selection activeCell="A14" sqref="A14"/>
      <selection pane="bottomLeft" activeCell="I28" sqref="I28"/>
    </sheetView>
  </sheetViews>
  <sheetFormatPr defaultRowHeight="12.75" outlineLevelCol="1"/>
  <cols>
    <col min="1" max="1" width="9.140625" style="4" customWidth="1"/>
    <col min="2" max="2" width="9.140625" style="4"/>
    <col min="3" max="4" width="6.140625" style="4" customWidth="1"/>
    <col min="5" max="5" width="13.7109375" style="4" bestFit="1" customWidth="1"/>
    <col min="6" max="6" width="20.85546875" style="4" customWidth="1"/>
    <col min="7" max="7" width="34.85546875" style="4" customWidth="1"/>
    <col min="8" max="8" width="8" style="4" customWidth="1"/>
    <col min="9" max="10" width="17" style="4" customWidth="1"/>
    <col min="11" max="11" width="17.42578125" style="4" customWidth="1"/>
    <col min="12" max="14" width="5.7109375" style="4" customWidth="1"/>
    <col min="15" max="15" width="12" style="4" customWidth="1"/>
    <col min="16" max="16" width="15.28515625" style="4" customWidth="1"/>
    <col min="17" max="17" width="11.140625" style="4" customWidth="1"/>
    <col min="18" max="18" width="15.7109375" style="4" customWidth="1"/>
    <col min="19" max="19" width="11.140625" style="4" customWidth="1"/>
    <col min="20" max="20" width="10.42578125" style="4" customWidth="1" outlineLevel="1"/>
    <col min="21" max="23" width="9.140625" style="4" customWidth="1" outlineLevel="1"/>
    <col min="24" max="25" width="11.7109375" style="4" customWidth="1" outlineLevel="1"/>
    <col min="26" max="27" width="12.7109375" style="4" customWidth="1"/>
    <col min="28" max="28" width="12.7109375" style="4" customWidth="1" outlineLevel="1"/>
    <col min="29" max="29" width="21.85546875" style="4" customWidth="1" outlineLevel="1"/>
    <col min="30" max="30" width="13" style="4" customWidth="1" outlineLevel="1"/>
    <col min="31" max="34" width="9.140625" style="4" customWidth="1"/>
    <col min="35" max="265" width="9.140625" style="4"/>
    <col min="266" max="266" width="14.5703125" style="4" bestFit="1" customWidth="1"/>
    <col min="267" max="267" width="34.85546875" style="4" customWidth="1"/>
    <col min="268" max="268" width="9.85546875" style="4" customWidth="1"/>
    <col min="269" max="270" width="17" style="4" customWidth="1"/>
    <col min="271" max="271" width="17.42578125" style="4" customWidth="1"/>
    <col min="272" max="277" width="9.140625" style="4"/>
    <col min="278" max="279" width="11.7109375" style="4" customWidth="1"/>
    <col min="280" max="280" width="13" style="4" customWidth="1"/>
    <col min="281" max="281" width="15.5703125" style="4" customWidth="1"/>
    <col min="282" max="282" width="9.140625" style="4"/>
    <col min="283" max="283" width="11.7109375" style="4" customWidth="1"/>
    <col min="284" max="284" width="12.28515625" style="4" customWidth="1"/>
    <col min="285" max="285" width="24.140625" style="4" customWidth="1"/>
    <col min="286" max="286" width="20.85546875" style="4" customWidth="1"/>
    <col min="287" max="521" width="9.140625" style="4"/>
    <col min="522" max="522" width="14.5703125" style="4" bestFit="1" customWidth="1"/>
    <col min="523" max="523" width="34.85546875" style="4" customWidth="1"/>
    <col min="524" max="524" width="9.85546875" style="4" customWidth="1"/>
    <col min="525" max="526" width="17" style="4" customWidth="1"/>
    <col min="527" max="527" width="17.42578125" style="4" customWidth="1"/>
    <col min="528" max="533" width="9.140625" style="4"/>
    <col min="534" max="535" width="11.7109375" style="4" customWidth="1"/>
    <col min="536" max="536" width="13" style="4" customWidth="1"/>
    <col min="537" max="537" width="15.5703125" style="4" customWidth="1"/>
    <col min="538" max="538" width="9.140625" style="4"/>
    <col min="539" max="539" width="11.7109375" style="4" customWidth="1"/>
    <col min="540" max="540" width="12.28515625" style="4" customWidth="1"/>
    <col min="541" max="541" width="24.140625" style="4" customWidth="1"/>
    <col min="542" max="542" width="20.85546875" style="4" customWidth="1"/>
    <col min="543" max="777" width="9.140625" style="4"/>
    <col min="778" max="778" width="14.5703125" style="4" bestFit="1" customWidth="1"/>
    <col min="779" max="779" width="34.85546875" style="4" customWidth="1"/>
    <col min="780" max="780" width="9.85546875" style="4" customWidth="1"/>
    <col min="781" max="782" width="17" style="4" customWidth="1"/>
    <col min="783" max="783" width="17.42578125" style="4" customWidth="1"/>
    <col min="784" max="789" width="9.140625" style="4"/>
    <col min="790" max="791" width="11.7109375" style="4" customWidth="1"/>
    <col min="792" max="792" width="13" style="4" customWidth="1"/>
    <col min="793" max="793" width="15.5703125" style="4" customWidth="1"/>
    <col min="794" max="794" width="9.140625" style="4"/>
    <col min="795" max="795" width="11.7109375" style="4" customWidth="1"/>
    <col min="796" max="796" width="12.28515625" style="4" customWidth="1"/>
    <col min="797" max="797" width="24.140625" style="4" customWidth="1"/>
    <col min="798" max="798" width="20.85546875" style="4" customWidth="1"/>
    <col min="799" max="1033" width="9.140625" style="4"/>
    <col min="1034" max="1034" width="14.5703125" style="4" bestFit="1" customWidth="1"/>
    <col min="1035" max="1035" width="34.85546875" style="4" customWidth="1"/>
    <col min="1036" max="1036" width="9.85546875" style="4" customWidth="1"/>
    <col min="1037" max="1038" width="17" style="4" customWidth="1"/>
    <col min="1039" max="1039" width="17.42578125" style="4" customWidth="1"/>
    <col min="1040" max="1045" width="9.140625" style="4"/>
    <col min="1046" max="1047" width="11.7109375" style="4" customWidth="1"/>
    <col min="1048" max="1048" width="13" style="4" customWidth="1"/>
    <col min="1049" max="1049" width="15.5703125" style="4" customWidth="1"/>
    <col min="1050" max="1050" width="9.140625" style="4"/>
    <col min="1051" max="1051" width="11.7109375" style="4" customWidth="1"/>
    <col min="1052" max="1052" width="12.28515625" style="4" customWidth="1"/>
    <col min="1053" max="1053" width="24.140625" style="4" customWidth="1"/>
    <col min="1054" max="1054" width="20.85546875" style="4" customWidth="1"/>
    <col min="1055" max="1289" width="9.140625" style="4"/>
    <col min="1290" max="1290" width="14.5703125" style="4" bestFit="1" customWidth="1"/>
    <col min="1291" max="1291" width="34.85546875" style="4" customWidth="1"/>
    <col min="1292" max="1292" width="9.85546875" style="4" customWidth="1"/>
    <col min="1293" max="1294" width="17" style="4" customWidth="1"/>
    <col min="1295" max="1295" width="17.42578125" style="4" customWidth="1"/>
    <col min="1296" max="1301" width="9.140625" style="4"/>
    <col min="1302" max="1303" width="11.7109375" style="4" customWidth="1"/>
    <col min="1304" max="1304" width="13" style="4" customWidth="1"/>
    <col min="1305" max="1305" width="15.5703125" style="4" customWidth="1"/>
    <col min="1306" max="1306" width="9.140625" style="4"/>
    <col min="1307" max="1307" width="11.7109375" style="4" customWidth="1"/>
    <col min="1308" max="1308" width="12.28515625" style="4" customWidth="1"/>
    <col min="1309" max="1309" width="24.140625" style="4" customWidth="1"/>
    <col min="1310" max="1310" width="20.85546875" style="4" customWidth="1"/>
    <col min="1311" max="1545" width="9.140625" style="4"/>
    <col min="1546" max="1546" width="14.5703125" style="4" bestFit="1" customWidth="1"/>
    <col min="1547" max="1547" width="34.85546875" style="4" customWidth="1"/>
    <col min="1548" max="1548" width="9.85546875" style="4" customWidth="1"/>
    <col min="1549" max="1550" width="17" style="4" customWidth="1"/>
    <col min="1551" max="1551" width="17.42578125" style="4" customWidth="1"/>
    <col min="1552" max="1557" width="9.140625" style="4"/>
    <col min="1558" max="1559" width="11.7109375" style="4" customWidth="1"/>
    <col min="1560" max="1560" width="13" style="4" customWidth="1"/>
    <col min="1561" max="1561" width="15.5703125" style="4" customWidth="1"/>
    <col min="1562" max="1562" width="9.140625" style="4"/>
    <col min="1563" max="1563" width="11.7109375" style="4" customWidth="1"/>
    <col min="1564" max="1564" width="12.28515625" style="4" customWidth="1"/>
    <col min="1565" max="1565" width="24.140625" style="4" customWidth="1"/>
    <col min="1566" max="1566" width="20.85546875" style="4" customWidth="1"/>
    <col min="1567" max="1801" width="9.140625" style="4"/>
    <col min="1802" max="1802" width="14.5703125" style="4" bestFit="1" customWidth="1"/>
    <col min="1803" max="1803" width="34.85546875" style="4" customWidth="1"/>
    <col min="1804" max="1804" width="9.85546875" style="4" customWidth="1"/>
    <col min="1805" max="1806" width="17" style="4" customWidth="1"/>
    <col min="1807" max="1807" width="17.42578125" style="4" customWidth="1"/>
    <col min="1808" max="1813" width="9.140625" style="4"/>
    <col min="1814" max="1815" width="11.7109375" style="4" customWidth="1"/>
    <col min="1816" max="1816" width="13" style="4" customWidth="1"/>
    <col min="1817" max="1817" width="15.5703125" style="4" customWidth="1"/>
    <col min="1818" max="1818" width="9.140625" style="4"/>
    <col min="1819" max="1819" width="11.7109375" style="4" customWidth="1"/>
    <col min="1820" max="1820" width="12.28515625" style="4" customWidth="1"/>
    <col min="1821" max="1821" width="24.140625" style="4" customWidth="1"/>
    <col min="1822" max="1822" width="20.85546875" style="4" customWidth="1"/>
    <col min="1823" max="2057" width="9.140625" style="4"/>
    <col min="2058" max="2058" width="14.5703125" style="4" bestFit="1" customWidth="1"/>
    <col min="2059" max="2059" width="34.85546875" style="4" customWidth="1"/>
    <col min="2060" max="2060" width="9.85546875" style="4" customWidth="1"/>
    <col min="2061" max="2062" width="17" style="4" customWidth="1"/>
    <col min="2063" max="2063" width="17.42578125" style="4" customWidth="1"/>
    <col min="2064" max="2069" width="9.140625" style="4"/>
    <col min="2070" max="2071" width="11.7109375" style="4" customWidth="1"/>
    <col min="2072" max="2072" width="13" style="4" customWidth="1"/>
    <col min="2073" max="2073" width="15.5703125" style="4" customWidth="1"/>
    <col min="2074" max="2074" width="9.140625" style="4"/>
    <col min="2075" max="2075" width="11.7109375" style="4" customWidth="1"/>
    <col min="2076" max="2076" width="12.28515625" style="4" customWidth="1"/>
    <col min="2077" max="2077" width="24.140625" style="4" customWidth="1"/>
    <col min="2078" max="2078" width="20.85546875" style="4" customWidth="1"/>
    <col min="2079" max="2313" width="9.140625" style="4"/>
    <col min="2314" max="2314" width="14.5703125" style="4" bestFit="1" customWidth="1"/>
    <col min="2315" max="2315" width="34.85546875" style="4" customWidth="1"/>
    <col min="2316" max="2316" width="9.85546875" style="4" customWidth="1"/>
    <col min="2317" max="2318" width="17" style="4" customWidth="1"/>
    <col min="2319" max="2319" width="17.42578125" style="4" customWidth="1"/>
    <col min="2320" max="2325" width="9.140625" style="4"/>
    <col min="2326" max="2327" width="11.7109375" style="4" customWidth="1"/>
    <col min="2328" max="2328" width="13" style="4" customWidth="1"/>
    <col min="2329" max="2329" width="15.5703125" style="4" customWidth="1"/>
    <col min="2330" max="2330" width="9.140625" style="4"/>
    <col min="2331" max="2331" width="11.7109375" style="4" customWidth="1"/>
    <col min="2332" max="2332" width="12.28515625" style="4" customWidth="1"/>
    <col min="2333" max="2333" width="24.140625" style="4" customWidth="1"/>
    <col min="2334" max="2334" width="20.85546875" style="4" customWidth="1"/>
    <col min="2335" max="2569" width="9.140625" style="4"/>
    <col min="2570" max="2570" width="14.5703125" style="4" bestFit="1" customWidth="1"/>
    <col min="2571" max="2571" width="34.85546875" style="4" customWidth="1"/>
    <col min="2572" max="2572" width="9.85546875" style="4" customWidth="1"/>
    <col min="2573" max="2574" width="17" style="4" customWidth="1"/>
    <col min="2575" max="2575" width="17.42578125" style="4" customWidth="1"/>
    <col min="2576" max="2581" width="9.140625" style="4"/>
    <col min="2582" max="2583" width="11.7109375" style="4" customWidth="1"/>
    <col min="2584" max="2584" width="13" style="4" customWidth="1"/>
    <col min="2585" max="2585" width="15.5703125" style="4" customWidth="1"/>
    <col min="2586" max="2586" width="9.140625" style="4"/>
    <col min="2587" max="2587" width="11.7109375" style="4" customWidth="1"/>
    <col min="2588" max="2588" width="12.28515625" style="4" customWidth="1"/>
    <col min="2589" max="2589" width="24.140625" style="4" customWidth="1"/>
    <col min="2590" max="2590" width="20.85546875" style="4" customWidth="1"/>
    <col min="2591" max="2825" width="9.140625" style="4"/>
    <col min="2826" max="2826" width="14.5703125" style="4" bestFit="1" customWidth="1"/>
    <col min="2827" max="2827" width="34.85546875" style="4" customWidth="1"/>
    <col min="2828" max="2828" width="9.85546875" style="4" customWidth="1"/>
    <col min="2829" max="2830" width="17" style="4" customWidth="1"/>
    <col min="2831" max="2831" width="17.42578125" style="4" customWidth="1"/>
    <col min="2832" max="2837" width="9.140625" style="4"/>
    <col min="2838" max="2839" width="11.7109375" style="4" customWidth="1"/>
    <col min="2840" max="2840" width="13" style="4" customWidth="1"/>
    <col min="2841" max="2841" width="15.5703125" style="4" customWidth="1"/>
    <col min="2842" max="2842" width="9.140625" style="4"/>
    <col min="2843" max="2843" width="11.7109375" style="4" customWidth="1"/>
    <col min="2844" max="2844" width="12.28515625" style="4" customWidth="1"/>
    <col min="2845" max="2845" width="24.140625" style="4" customWidth="1"/>
    <col min="2846" max="2846" width="20.85546875" style="4" customWidth="1"/>
    <col min="2847" max="3081" width="9.140625" style="4"/>
    <col min="3082" max="3082" width="14.5703125" style="4" bestFit="1" customWidth="1"/>
    <col min="3083" max="3083" width="34.85546875" style="4" customWidth="1"/>
    <col min="3084" max="3084" width="9.85546875" style="4" customWidth="1"/>
    <col min="3085" max="3086" width="17" style="4" customWidth="1"/>
    <col min="3087" max="3087" width="17.42578125" style="4" customWidth="1"/>
    <col min="3088" max="3093" width="9.140625" style="4"/>
    <col min="3094" max="3095" width="11.7109375" style="4" customWidth="1"/>
    <col min="3096" max="3096" width="13" style="4" customWidth="1"/>
    <col min="3097" max="3097" width="15.5703125" style="4" customWidth="1"/>
    <col min="3098" max="3098" width="9.140625" style="4"/>
    <col min="3099" max="3099" width="11.7109375" style="4" customWidth="1"/>
    <col min="3100" max="3100" width="12.28515625" style="4" customWidth="1"/>
    <col min="3101" max="3101" width="24.140625" style="4" customWidth="1"/>
    <col min="3102" max="3102" width="20.85546875" style="4" customWidth="1"/>
    <col min="3103" max="3337" width="9.140625" style="4"/>
    <col min="3338" max="3338" width="14.5703125" style="4" bestFit="1" customWidth="1"/>
    <col min="3339" max="3339" width="34.85546875" style="4" customWidth="1"/>
    <col min="3340" max="3340" width="9.85546875" style="4" customWidth="1"/>
    <col min="3341" max="3342" width="17" style="4" customWidth="1"/>
    <col min="3343" max="3343" width="17.42578125" style="4" customWidth="1"/>
    <col min="3344" max="3349" width="9.140625" style="4"/>
    <col min="3350" max="3351" width="11.7109375" style="4" customWidth="1"/>
    <col min="3352" max="3352" width="13" style="4" customWidth="1"/>
    <col min="3353" max="3353" width="15.5703125" style="4" customWidth="1"/>
    <col min="3354" max="3354" width="9.140625" style="4"/>
    <col min="3355" max="3355" width="11.7109375" style="4" customWidth="1"/>
    <col min="3356" max="3356" width="12.28515625" style="4" customWidth="1"/>
    <col min="3357" max="3357" width="24.140625" style="4" customWidth="1"/>
    <col min="3358" max="3358" width="20.85546875" style="4" customWidth="1"/>
    <col min="3359" max="3593" width="9.140625" style="4"/>
    <col min="3594" max="3594" width="14.5703125" style="4" bestFit="1" customWidth="1"/>
    <col min="3595" max="3595" width="34.85546875" style="4" customWidth="1"/>
    <col min="3596" max="3596" width="9.85546875" style="4" customWidth="1"/>
    <col min="3597" max="3598" width="17" style="4" customWidth="1"/>
    <col min="3599" max="3599" width="17.42578125" style="4" customWidth="1"/>
    <col min="3600" max="3605" width="9.140625" style="4"/>
    <col min="3606" max="3607" width="11.7109375" style="4" customWidth="1"/>
    <col min="3608" max="3608" width="13" style="4" customWidth="1"/>
    <col min="3609" max="3609" width="15.5703125" style="4" customWidth="1"/>
    <col min="3610" max="3610" width="9.140625" style="4"/>
    <col min="3611" max="3611" width="11.7109375" style="4" customWidth="1"/>
    <col min="3612" max="3612" width="12.28515625" style="4" customWidth="1"/>
    <col min="3613" max="3613" width="24.140625" style="4" customWidth="1"/>
    <col min="3614" max="3614" width="20.85546875" style="4" customWidth="1"/>
    <col min="3615" max="3849" width="9.140625" style="4"/>
    <col min="3850" max="3850" width="14.5703125" style="4" bestFit="1" customWidth="1"/>
    <col min="3851" max="3851" width="34.85546875" style="4" customWidth="1"/>
    <col min="3852" max="3852" width="9.85546875" style="4" customWidth="1"/>
    <col min="3853" max="3854" width="17" style="4" customWidth="1"/>
    <col min="3855" max="3855" width="17.42578125" style="4" customWidth="1"/>
    <col min="3856" max="3861" width="9.140625" style="4"/>
    <col min="3862" max="3863" width="11.7109375" style="4" customWidth="1"/>
    <col min="3864" max="3864" width="13" style="4" customWidth="1"/>
    <col min="3865" max="3865" width="15.5703125" style="4" customWidth="1"/>
    <col min="3866" max="3866" width="9.140625" style="4"/>
    <col min="3867" max="3867" width="11.7109375" style="4" customWidth="1"/>
    <col min="3868" max="3868" width="12.28515625" style="4" customWidth="1"/>
    <col min="3869" max="3869" width="24.140625" style="4" customWidth="1"/>
    <col min="3870" max="3870" width="20.85546875" style="4" customWidth="1"/>
    <col min="3871" max="4105" width="9.140625" style="4"/>
    <col min="4106" max="4106" width="14.5703125" style="4" bestFit="1" customWidth="1"/>
    <col min="4107" max="4107" width="34.85546875" style="4" customWidth="1"/>
    <col min="4108" max="4108" width="9.85546875" style="4" customWidth="1"/>
    <col min="4109" max="4110" width="17" style="4" customWidth="1"/>
    <col min="4111" max="4111" width="17.42578125" style="4" customWidth="1"/>
    <col min="4112" max="4117" width="9.140625" style="4"/>
    <col min="4118" max="4119" width="11.7109375" style="4" customWidth="1"/>
    <col min="4120" max="4120" width="13" style="4" customWidth="1"/>
    <col min="4121" max="4121" width="15.5703125" style="4" customWidth="1"/>
    <col min="4122" max="4122" width="9.140625" style="4"/>
    <col min="4123" max="4123" width="11.7109375" style="4" customWidth="1"/>
    <col min="4124" max="4124" width="12.28515625" style="4" customWidth="1"/>
    <col min="4125" max="4125" width="24.140625" style="4" customWidth="1"/>
    <col min="4126" max="4126" width="20.85546875" style="4" customWidth="1"/>
    <col min="4127" max="4361" width="9.140625" style="4"/>
    <col min="4362" max="4362" width="14.5703125" style="4" bestFit="1" customWidth="1"/>
    <col min="4363" max="4363" width="34.85546875" style="4" customWidth="1"/>
    <col min="4364" max="4364" width="9.85546875" style="4" customWidth="1"/>
    <col min="4365" max="4366" width="17" style="4" customWidth="1"/>
    <col min="4367" max="4367" width="17.42578125" style="4" customWidth="1"/>
    <col min="4368" max="4373" width="9.140625" style="4"/>
    <col min="4374" max="4375" width="11.7109375" style="4" customWidth="1"/>
    <col min="4376" max="4376" width="13" style="4" customWidth="1"/>
    <col min="4377" max="4377" width="15.5703125" style="4" customWidth="1"/>
    <col min="4378" max="4378" width="9.140625" style="4"/>
    <col min="4379" max="4379" width="11.7109375" style="4" customWidth="1"/>
    <col min="4380" max="4380" width="12.28515625" style="4" customWidth="1"/>
    <col min="4381" max="4381" width="24.140625" style="4" customWidth="1"/>
    <col min="4382" max="4382" width="20.85546875" style="4" customWidth="1"/>
    <col min="4383" max="4617" width="9.140625" style="4"/>
    <col min="4618" max="4618" width="14.5703125" style="4" bestFit="1" customWidth="1"/>
    <col min="4619" max="4619" width="34.85546875" style="4" customWidth="1"/>
    <col min="4620" max="4620" width="9.85546875" style="4" customWidth="1"/>
    <col min="4621" max="4622" width="17" style="4" customWidth="1"/>
    <col min="4623" max="4623" width="17.42578125" style="4" customWidth="1"/>
    <col min="4624" max="4629" width="9.140625" style="4"/>
    <col min="4630" max="4631" width="11.7109375" style="4" customWidth="1"/>
    <col min="4632" max="4632" width="13" style="4" customWidth="1"/>
    <col min="4633" max="4633" width="15.5703125" style="4" customWidth="1"/>
    <col min="4634" max="4634" width="9.140625" style="4"/>
    <col min="4635" max="4635" width="11.7109375" style="4" customWidth="1"/>
    <col min="4636" max="4636" width="12.28515625" style="4" customWidth="1"/>
    <col min="4637" max="4637" width="24.140625" style="4" customWidth="1"/>
    <col min="4638" max="4638" width="20.85546875" style="4" customWidth="1"/>
    <col min="4639" max="4873" width="9.140625" style="4"/>
    <col min="4874" max="4874" width="14.5703125" style="4" bestFit="1" customWidth="1"/>
    <col min="4875" max="4875" width="34.85546875" style="4" customWidth="1"/>
    <col min="4876" max="4876" width="9.85546875" style="4" customWidth="1"/>
    <col min="4877" max="4878" width="17" style="4" customWidth="1"/>
    <col min="4879" max="4879" width="17.42578125" style="4" customWidth="1"/>
    <col min="4880" max="4885" width="9.140625" style="4"/>
    <col min="4886" max="4887" width="11.7109375" style="4" customWidth="1"/>
    <col min="4888" max="4888" width="13" style="4" customWidth="1"/>
    <col min="4889" max="4889" width="15.5703125" style="4" customWidth="1"/>
    <col min="4890" max="4890" width="9.140625" style="4"/>
    <col min="4891" max="4891" width="11.7109375" style="4" customWidth="1"/>
    <col min="4892" max="4892" width="12.28515625" style="4" customWidth="1"/>
    <col min="4893" max="4893" width="24.140625" style="4" customWidth="1"/>
    <col min="4894" max="4894" width="20.85546875" style="4" customWidth="1"/>
    <col min="4895" max="5129" width="9.140625" style="4"/>
    <col min="5130" max="5130" width="14.5703125" style="4" bestFit="1" customWidth="1"/>
    <col min="5131" max="5131" width="34.85546875" style="4" customWidth="1"/>
    <col min="5132" max="5132" width="9.85546875" style="4" customWidth="1"/>
    <col min="5133" max="5134" width="17" style="4" customWidth="1"/>
    <col min="5135" max="5135" width="17.42578125" style="4" customWidth="1"/>
    <col min="5136" max="5141" width="9.140625" style="4"/>
    <col min="5142" max="5143" width="11.7109375" style="4" customWidth="1"/>
    <col min="5144" max="5144" width="13" style="4" customWidth="1"/>
    <col min="5145" max="5145" width="15.5703125" style="4" customWidth="1"/>
    <col min="5146" max="5146" width="9.140625" style="4"/>
    <col min="5147" max="5147" width="11.7109375" style="4" customWidth="1"/>
    <col min="5148" max="5148" width="12.28515625" style="4" customWidth="1"/>
    <col min="5149" max="5149" width="24.140625" style="4" customWidth="1"/>
    <col min="5150" max="5150" width="20.85546875" style="4" customWidth="1"/>
    <col min="5151" max="5385" width="9.140625" style="4"/>
    <col min="5386" max="5386" width="14.5703125" style="4" bestFit="1" customWidth="1"/>
    <col min="5387" max="5387" width="34.85546875" style="4" customWidth="1"/>
    <col min="5388" max="5388" width="9.85546875" style="4" customWidth="1"/>
    <col min="5389" max="5390" width="17" style="4" customWidth="1"/>
    <col min="5391" max="5391" width="17.42578125" style="4" customWidth="1"/>
    <col min="5392" max="5397" width="9.140625" style="4"/>
    <col min="5398" max="5399" width="11.7109375" style="4" customWidth="1"/>
    <col min="5400" max="5400" width="13" style="4" customWidth="1"/>
    <col min="5401" max="5401" width="15.5703125" style="4" customWidth="1"/>
    <col min="5402" max="5402" width="9.140625" style="4"/>
    <col min="5403" max="5403" width="11.7109375" style="4" customWidth="1"/>
    <col min="5404" max="5404" width="12.28515625" style="4" customWidth="1"/>
    <col min="5405" max="5405" width="24.140625" style="4" customWidth="1"/>
    <col min="5406" max="5406" width="20.85546875" style="4" customWidth="1"/>
    <col min="5407" max="5641" width="9.140625" style="4"/>
    <col min="5642" max="5642" width="14.5703125" style="4" bestFit="1" customWidth="1"/>
    <col min="5643" max="5643" width="34.85546875" style="4" customWidth="1"/>
    <col min="5644" max="5644" width="9.85546875" style="4" customWidth="1"/>
    <col min="5645" max="5646" width="17" style="4" customWidth="1"/>
    <col min="5647" max="5647" width="17.42578125" style="4" customWidth="1"/>
    <col min="5648" max="5653" width="9.140625" style="4"/>
    <col min="5654" max="5655" width="11.7109375" style="4" customWidth="1"/>
    <col min="5656" max="5656" width="13" style="4" customWidth="1"/>
    <col min="5657" max="5657" width="15.5703125" style="4" customWidth="1"/>
    <col min="5658" max="5658" width="9.140625" style="4"/>
    <col min="5659" max="5659" width="11.7109375" style="4" customWidth="1"/>
    <col min="5660" max="5660" width="12.28515625" style="4" customWidth="1"/>
    <col min="5661" max="5661" width="24.140625" style="4" customWidth="1"/>
    <col min="5662" max="5662" width="20.85546875" style="4" customWidth="1"/>
    <col min="5663" max="5897" width="9.140625" style="4"/>
    <col min="5898" max="5898" width="14.5703125" style="4" bestFit="1" customWidth="1"/>
    <col min="5899" max="5899" width="34.85546875" style="4" customWidth="1"/>
    <col min="5900" max="5900" width="9.85546875" style="4" customWidth="1"/>
    <col min="5901" max="5902" width="17" style="4" customWidth="1"/>
    <col min="5903" max="5903" width="17.42578125" style="4" customWidth="1"/>
    <col min="5904" max="5909" width="9.140625" style="4"/>
    <col min="5910" max="5911" width="11.7109375" style="4" customWidth="1"/>
    <col min="5912" max="5912" width="13" style="4" customWidth="1"/>
    <col min="5913" max="5913" width="15.5703125" style="4" customWidth="1"/>
    <col min="5914" max="5914" width="9.140625" style="4"/>
    <col min="5915" max="5915" width="11.7109375" style="4" customWidth="1"/>
    <col min="5916" max="5916" width="12.28515625" style="4" customWidth="1"/>
    <col min="5917" max="5917" width="24.140625" style="4" customWidth="1"/>
    <col min="5918" max="5918" width="20.85546875" style="4" customWidth="1"/>
    <col min="5919" max="6153" width="9.140625" style="4"/>
    <col min="6154" max="6154" width="14.5703125" style="4" bestFit="1" customWidth="1"/>
    <col min="6155" max="6155" width="34.85546875" style="4" customWidth="1"/>
    <col min="6156" max="6156" width="9.85546875" style="4" customWidth="1"/>
    <col min="6157" max="6158" width="17" style="4" customWidth="1"/>
    <col min="6159" max="6159" width="17.42578125" style="4" customWidth="1"/>
    <col min="6160" max="6165" width="9.140625" style="4"/>
    <col min="6166" max="6167" width="11.7109375" style="4" customWidth="1"/>
    <col min="6168" max="6168" width="13" style="4" customWidth="1"/>
    <col min="6169" max="6169" width="15.5703125" style="4" customWidth="1"/>
    <col min="6170" max="6170" width="9.140625" style="4"/>
    <col min="6171" max="6171" width="11.7109375" style="4" customWidth="1"/>
    <col min="6172" max="6172" width="12.28515625" style="4" customWidth="1"/>
    <col min="6173" max="6173" width="24.140625" style="4" customWidth="1"/>
    <col min="6174" max="6174" width="20.85546875" style="4" customWidth="1"/>
    <col min="6175" max="6409" width="9.140625" style="4"/>
    <col min="6410" max="6410" width="14.5703125" style="4" bestFit="1" customWidth="1"/>
    <col min="6411" max="6411" width="34.85546875" style="4" customWidth="1"/>
    <col min="6412" max="6412" width="9.85546875" style="4" customWidth="1"/>
    <col min="6413" max="6414" width="17" style="4" customWidth="1"/>
    <col min="6415" max="6415" width="17.42578125" style="4" customWidth="1"/>
    <col min="6416" max="6421" width="9.140625" style="4"/>
    <col min="6422" max="6423" width="11.7109375" style="4" customWidth="1"/>
    <col min="6424" max="6424" width="13" style="4" customWidth="1"/>
    <col min="6425" max="6425" width="15.5703125" style="4" customWidth="1"/>
    <col min="6426" max="6426" width="9.140625" style="4"/>
    <col min="6427" max="6427" width="11.7109375" style="4" customWidth="1"/>
    <col min="6428" max="6428" width="12.28515625" style="4" customWidth="1"/>
    <col min="6429" max="6429" width="24.140625" style="4" customWidth="1"/>
    <col min="6430" max="6430" width="20.85546875" style="4" customWidth="1"/>
    <col min="6431" max="6665" width="9.140625" style="4"/>
    <col min="6666" max="6666" width="14.5703125" style="4" bestFit="1" customWidth="1"/>
    <col min="6667" max="6667" width="34.85546875" style="4" customWidth="1"/>
    <col min="6668" max="6668" width="9.85546875" style="4" customWidth="1"/>
    <col min="6669" max="6670" width="17" style="4" customWidth="1"/>
    <col min="6671" max="6671" width="17.42578125" style="4" customWidth="1"/>
    <col min="6672" max="6677" width="9.140625" style="4"/>
    <col min="6678" max="6679" width="11.7109375" style="4" customWidth="1"/>
    <col min="6680" max="6680" width="13" style="4" customWidth="1"/>
    <col min="6681" max="6681" width="15.5703125" style="4" customWidth="1"/>
    <col min="6682" max="6682" width="9.140625" style="4"/>
    <col min="6683" max="6683" width="11.7109375" style="4" customWidth="1"/>
    <col min="6684" max="6684" width="12.28515625" style="4" customWidth="1"/>
    <col min="6685" max="6685" width="24.140625" style="4" customWidth="1"/>
    <col min="6686" max="6686" width="20.85546875" style="4" customWidth="1"/>
    <col min="6687" max="6921" width="9.140625" style="4"/>
    <col min="6922" max="6922" width="14.5703125" style="4" bestFit="1" customWidth="1"/>
    <col min="6923" max="6923" width="34.85546875" style="4" customWidth="1"/>
    <col min="6924" max="6924" width="9.85546875" style="4" customWidth="1"/>
    <col min="6925" max="6926" width="17" style="4" customWidth="1"/>
    <col min="6927" max="6927" width="17.42578125" style="4" customWidth="1"/>
    <col min="6928" max="6933" width="9.140625" style="4"/>
    <col min="6934" max="6935" width="11.7109375" style="4" customWidth="1"/>
    <col min="6936" max="6936" width="13" style="4" customWidth="1"/>
    <col min="6937" max="6937" width="15.5703125" style="4" customWidth="1"/>
    <col min="6938" max="6938" width="9.140625" style="4"/>
    <col min="6939" max="6939" width="11.7109375" style="4" customWidth="1"/>
    <col min="6940" max="6940" width="12.28515625" style="4" customWidth="1"/>
    <col min="6941" max="6941" width="24.140625" style="4" customWidth="1"/>
    <col min="6942" max="6942" width="20.85546875" style="4" customWidth="1"/>
    <col min="6943" max="7177" width="9.140625" style="4"/>
    <col min="7178" max="7178" width="14.5703125" style="4" bestFit="1" customWidth="1"/>
    <col min="7179" max="7179" width="34.85546875" style="4" customWidth="1"/>
    <col min="7180" max="7180" width="9.85546875" style="4" customWidth="1"/>
    <col min="7181" max="7182" width="17" style="4" customWidth="1"/>
    <col min="7183" max="7183" width="17.42578125" style="4" customWidth="1"/>
    <col min="7184" max="7189" width="9.140625" style="4"/>
    <col min="7190" max="7191" width="11.7109375" style="4" customWidth="1"/>
    <col min="7192" max="7192" width="13" style="4" customWidth="1"/>
    <col min="7193" max="7193" width="15.5703125" style="4" customWidth="1"/>
    <col min="7194" max="7194" width="9.140625" style="4"/>
    <col min="7195" max="7195" width="11.7109375" style="4" customWidth="1"/>
    <col min="7196" max="7196" width="12.28515625" style="4" customWidth="1"/>
    <col min="7197" max="7197" width="24.140625" style="4" customWidth="1"/>
    <col min="7198" max="7198" width="20.85546875" style="4" customWidth="1"/>
    <col min="7199" max="7433" width="9.140625" style="4"/>
    <col min="7434" max="7434" width="14.5703125" style="4" bestFit="1" customWidth="1"/>
    <col min="7435" max="7435" width="34.85546875" style="4" customWidth="1"/>
    <col min="7436" max="7436" width="9.85546875" style="4" customWidth="1"/>
    <col min="7437" max="7438" width="17" style="4" customWidth="1"/>
    <col min="7439" max="7439" width="17.42578125" style="4" customWidth="1"/>
    <col min="7440" max="7445" width="9.140625" style="4"/>
    <col min="7446" max="7447" width="11.7109375" style="4" customWidth="1"/>
    <col min="7448" max="7448" width="13" style="4" customWidth="1"/>
    <col min="7449" max="7449" width="15.5703125" style="4" customWidth="1"/>
    <col min="7450" max="7450" width="9.140625" style="4"/>
    <col min="7451" max="7451" width="11.7109375" style="4" customWidth="1"/>
    <col min="7452" max="7452" width="12.28515625" style="4" customWidth="1"/>
    <col min="7453" max="7453" width="24.140625" style="4" customWidth="1"/>
    <col min="7454" max="7454" width="20.85546875" style="4" customWidth="1"/>
    <col min="7455" max="7689" width="9.140625" style="4"/>
    <col min="7690" max="7690" width="14.5703125" style="4" bestFit="1" customWidth="1"/>
    <col min="7691" max="7691" width="34.85546875" style="4" customWidth="1"/>
    <col min="7692" max="7692" width="9.85546875" style="4" customWidth="1"/>
    <col min="7693" max="7694" width="17" style="4" customWidth="1"/>
    <col min="7695" max="7695" width="17.42578125" style="4" customWidth="1"/>
    <col min="7696" max="7701" width="9.140625" style="4"/>
    <col min="7702" max="7703" width="11.7109375" style="4" customWidth="1"/>
    <col min="7704" max="7704" width="13" style="4" customWidth="1"/>
    <col min="7705" max="7705" width="15.5703125" style="4" customWidth="1"/>
    <col min="7706" max="7706" width="9.140625" style="4"/>
    <col min="7707" max="7707" width="11.7109375" style="4" customWidth="1"/>
    <col min="7708" max="7708" width="12.28515625" style="4" customWidth="1"/>
    <col min="7709" max="7709" width="24.140625" style="4" customWidth="1"/>
    <col min="7710" max="7710" width="20.85546875" style="4" customWidth="1"/>
    <col min="7711" max="7945" width="9.140625" style="4"/>
    <col min="7946" max="7946" width="14.5703125" style="4" bestFit="1" customWidth="1"/>
    <col min="7947" max="7947" width="34.85546875" style="4" customWidth="1"/>
    <col min="7948" max="7948" width="9.85546875" style="4" customWidth="1"/>
    <col min="7949" max="7950" width="17" style="4" customWidth="1"/>
    <col min="7951" max="7951" width="17.42578125" style="4" customWidth="1"/>
    <col min="7952" max="7957" width="9.140625" style="4"/>
    <col min="7958" max="7959" width="11.7109375" style="4" customWidth="1"/>
    <col min="7960" max="7960" width="13" style="4" customWidth="1"/>
    <col min="7961" max="7961" width="15.5703125" style="4" customWidth="1"/>
    <col min="7962" max="7962" width="9.140625" style="4"/>
    <col min="7963" max="7963" width="11.7109375" style="4" customWidth="1"/>
    <col min="7964" max="7964" width="12.28515625" style="4" customWidth="1"/>
    <col min="7965" max="7965" width="24.140625" style="4" customWidth="1"/>
    <col min="7966" max="7966" width="20.85546875" style="4" customWidth="1"/>
    <col min="7967" max="8201" width="9.140625" style="4"/>
    <col min="8202" max="8202" width="14.5703125" style="4" bestFit="1" customWidth="1"/>
    <col min="8203" max="8203" width="34.85546875" style="4" customWidth="1"/>
    <col min="8204" max="8204" width="9.85546875" style="4" customWidth="1"/>
    <col min="8205" max="8206" width="17" style="4" customWidth="1"/>
    <col min="8207" max="8207" width="17.42578125" style="4" customWidth="1"/>
    <col min="8208" max="8213" width="9.140625" style="4"/>
    <col min="8214" max="8215" width="11.7109375" style="4" customWidth="1"/>
    <col min="8216" max="8216" width="13" style="4" customWidth="1"/>
    <col min="8217" max="8217" width="15.5703125" style="4" customWidth="1"/>
    <col min="8218" max="8218" width="9.140625" style="4"/>
    <col min="8219" max="8219" width="11.7109375" style="4" customWidth="1"/>
    <col min="8220" max="8220" width="12.28515625" style="4" customWidth="1"/>
    <col min="8221" max="8221" width="24.140625" style="4" customWidth="1"/>
    <col min="8222" max="8222" width="20.85546875" style="4" customWidth="1"/>
    <col min="8223" max="8457" width="9.140625" style="4"/>
    <col min="8458" max="8458" width="14.5703125" style="4" bestFit="1" customWidth="1"/>
    <col min="8459" max="8459" width="34.85546875" style="4" customWidth="1"/>
    <col min="8460" max="8460" width="9.85546875" style="4" customWidth="1"/>
    <col min="8461" max="8462" width="17" style="4" customWidth="1"/>
    <col min="8463" max="8463" width="17.42578125" style="4" customWidth="1"/>
    <col min="8464" max="8469" width="9.140625" style="4"/>
    <col min="8470" max="8471" width="11.7109375" style="4" customWidth="1"/>
    <col min="8472" max="8472" width="13" style="4" customWidth="1"/>
    <col min="8473" max="8473" width="15.5703125" style="4" customWidth="1"/>
    <col min="8474" max="8474" width="9.140625" style="4"/>
    <col min="8475" max="8475" width="11.7109375" style="4" customWidth="1"/>
    <col min="8476" max="8476" width="12.28515625" style="4" customWidth="1"/>
    <col min="8477" max="8477" width="24.140625" style="4" customWidth="1"/>
    <col min="8478" max="8478" width="20.85546875" style="4" customWidth="1"/>
    <col min="8479" max="8713" width="9.140625" style="4"/>
    <col min="8714" max="8714" width="14.5703125" style="4" bestFit="1" customWidth="1"/>
    <col min="8715" max="8715" width="34.85546875" style="4" customWidth="1"/>
    <col min="8716" max="8716" width="9.85546875" style="4" customWidth="1"/>
    <col min="8717" max="8718" width="17" style="4" customWidth="1"/>
    <col min="8719" max="8719" width="17.42578125" style="4" customWidth="1"/>
    <col min="8720" max="8725" width="9.140625" style="4"/>
    <col min="8726" max="8727" width="11.7109375" style="4" customWidth="1"/>
    <col min="8728" max="8728" width="13" style="4" customWidth="1"/>
    <col min="8729" max="8729" width="15.5703125" style="4" customWidth="1"/>
    <col min="8730" max="8730" width="9.140625" style="4"/>
    <col min="8731" max="8731" width="11.7109375" style="4" customWidth="1"/>
    <col min="8732" max="8732" width="12.28515625" style="4" customWidth="1"/>
    <col min="8733" max="8733" width="24.140625" style="4" customWidth="1"/>
    <col min="8734" max="8734" width="20.85546875" style="4" customWidth="1"/>
    <col min="8735" max="8969" width="9.140625" style="4"/>
    <col min="8970" max="8970" width="14.5703125" style="4" bestFit="1" customWidth="1"/>
    <col min="8971" max="8971" width="34.85546875" style="4" customWidth="1"/>
    <col min="8972" max="8972" width="9.85546875" style="4" customWidth="1"/>
    <col min="8973" max="8974" width="17" style="4" customWidth="1"/>
    <col min="8975" max="8975" width="17.42578125" style="4" customWidth="1"/>
    <col min="8976" max="8981" width="9.140625" style="4"/>
    <col min="8982" max="8983" width="11.7109375" style="4" customWidth="1"/>
    <col min="8984" max="8984" width="13" style="4" customWidth="1"/>
    <col min="8985" max="8985" width="15.5703125" style="4" customWidth="1"/>
    <col min="8986" max="8986" width="9.140625" style="4"/>
    <col min="8987" max="8987" width="11.7109375" style="4" customWidth="1"/>
    <col min="8988" max="8988" width="12.28515625" style="4" customWidth="1"/>
    <col min="8989" max="8989" width="24.140625" style="4" customWidth="1"/>
    <col min="8990" max="8990" width="20.85546875" style="4" customWidth="1"/>
    <col min="8991" max="9225" width="9.140625" style="4"/>
    <col min="9226" max="9226" width="14.5703125" style="4" bestFit="1" customWidth="1"/>
    <col min="9227" max="9227" width="34.85546875" style="4" customWidth="1"/>
    <col min="9228" max="9228" width="9.85546875" style="4" customWidth="1"/>
    <col min="9229" max="9230" width="17" style="4" customWidth="1"/>
    <col min="9231" max="9231" width="17.42578125" style="4" customWidth="1"/>
    <col min="9232" max="9237" width="9.140625" style="4"/>
    <col min="9238" max="9239" width="11.7109375" style="4" customWidth="1"/>
    <col min="9240" max="9240" width="13" style="4" customWidth="1"/>
    <col min="9241" max="9241" width="15.5703125" style="4" customWidth="1"/>
    <col min="9242" max="9242" width="9.140625" style="4"/>
    <col min="9243" max="9243" width="11.7109375" style="4" customWidth="1"/>
    <col min="9244" max="9244" width="12.28515625" style="4" customWidth="1"/>
    <col min="9245" max="9245" width="24.140625" style="4" customWidth="1"/>
    <col min="9246" max="9246" width="20.85546875" style="4" customWidth="1"/>
    <col min="9247" max="9481" width="9.140625" style="4"/>
    <col min="9482" max="9482" width="14.5703125" style="4" bestFit="1" customWidth="1"/>
    <col min="9483" max="9483" width="34.85546875" style="4" customWidth="1"/>
    <col min="9484" max="9484" width="9.85546875" style="4" customWidth="1"/>
    <col min="9485" max="9486" width="17" style="4" customWidth="1"/>
    <col min="9487" max="9487" width="17.42578125" style="4" customWidth="1"/>
    <col min="9488" max="9493" width="9.140625" style="4"/>
    <col min="9494" max="9495" width="11.7109375" style="4" customWidth="1"/>
    <col min="9496" max="9496" width="13" style="4" customWidth="1"/>
    <col min="9497" max="9497" width="15.5703125" style="4" customWidth="1"/>
    <col min="9498" max="9498" width="9.140625" style="4"/>
    <col min="9499" max="9499" width="11.7109375" style="4" customWidth="1"/>
    <col min="9500" max="9500" width="12.28515625" style="4" customWidth="1"/>
    <col min="9501" max="9501" width="24.140625" style="4" customWidth="1"/>
    <col min="9502" max="9502" width="20.85546875" style="4" customWidth="1"/>
    <col min="9503" max="9737" width="9.140625" style="4"/>
    <col min="9738" max="9738" width="14.5703125" style="4" bestFit="1" customWidth="1"/>
    <col min="9739" max="9739" width="34.85546875" style="4" customWidth="1"/>
    <col min="9740" max="9740" width="9.85546875" style="4" customWidth="1"/>
    <col min="9741" max="9742" width="17" style="4" customWidth="1"/>
    <col min="9743" max="9743" width="17.42578125" style="4" customWidth="1"/>
    <col min="9744" max="9749" width="9.140625" style="4"/>
    <col min="9750" max="9751" width="11.7109375" style="4" customWidth="1"/>
    <col min="9752" max="9752" width="13" style="4" customWidth="1"/>
    <col min="9753" max="9753" width="15.5703125" style="4" customWidth="1"/>
    <col min="9754" max="9754" width="9.140625" style="4"/>
    <col min="9755" max="9755" width="11.7109375" style="4" customWidth="1"/>
    <col min="9756" max="9756" width="12.28515625" style="4" customWidth="1"/>
    <col min="9757" max="9757" width="24.140625" style="4" customWidth="1"/>
    <col min="9758" max="9758" width="20.85546875" style="4" customWidth="1"/>
    <col min="9759" max="9993" width="9.140625" style="4"/>
    <col min="9994" max="9994" width="14.5703125" style="4" bestFit="1" customWidth="1"/>
    <col min="9995" max="9995" width="34.85546875" style="4" customWidth="1"/>
    <col min="9996" max="9996" width="9.85546875" style="4" customWidth="1"/>
    <col min="9997" max="9998" width="17" style="4" customWidth="1"/>
    <col min="9999" max="9999" width="17.42578125" style="4" customWidth="1"/>
    <col min="10000" max="10005" width="9.140625" style="4"/>
    <col min="10006" max="10007" width="11.7109375" style="4" customWidth="1"/>
    <col min="10008" max="10008" width="13" style="4" customWidth="1"/>
    <col min="10009" max="10009" width="15.5703125" style="4" customWidth="1"/>
    <col min="10010" max="10010" width="9.140625" style="4"/>
    <col min="10011" max="10011" width="11.7109375" style="4" customWidth="1"/>
    <col min="10012" max="10012" width="12.28515625" style="4" customWidth="1"/>
    <col min="10013" max="10013" width="24.140625" style="4" customWidth="1"/>
    <col min="10014" max="10014" width="20.85546875" style="4" customWidth="1"/>
    <col min="10015" max="10249" width="9.140625" style="4"/>
    <col min="10250" max="10250" width="14.5703125" style="4" bestFit="1" customWidth="1"/>
    <col min="10251" max="10251" width="34.85546875" style="4" customWidth="1"/>
    <col min="10252" max="10252" width="9.85546875" style="4" customWidth="1"/>
    <col min="10253" max="10254" width="17" style="4" customWidth="1"/>
    <col min="10255" max="10255" width="17.42578125" style="4" customWidth="1"/>
    <col min="10256" max="10261" width="9.140625" style="4"/>
    <col min="10262" max="10263" width="11.7109375" style="4" customWidth="1"/>
    <col min="10264" max="10264" width="13" style="4" customWidth="1"/>
    <col min="10265" max="10265" width="15.5703125" style="4" customWidth="1"/>
    <col min="10266" max="10266" width="9.140625" style="4"/>
    <col min="10267" max="10267" width="11.7109375" style="4" customWidth="1"/>
    <col min="10268" max="10268" width="12.28515625" style="4" customWidth="1"/>
    <col min="10269" max="10269" width="24.140625" style="4" customWidth="1"/>
    <col min="10270" max="10270" width="20.85546875" style="4" customWidth="1"/>
    <col min="10271" max="10505" width="9.140625" style="4"/>
    <col min="10506" max="10506" width="14.5703125" style="4" bestFit="1" customWidth="1"/>
    <col min="10507" max="10507" width="34.85546875" style="4" customWidth="1"/>
    <col min="10508" max="10508" width="9.85546875" style="4" customWidth="1"/>
    <col min="10509" max="10510" width="17" style="4" customWidth="1"/>
    <col min="10511" max="10511" width="17.42578125" style="4" customWidth="1"/>
    <col min="10512" max="10517" width="9.140625" style="4"/>
    <col min="10518" max="10519" width="11.7109375" style="4" customWidth="1"/>
    <col min="10520" max="10520" width="13" style="4" customWidth="1"/>
    <col min="10521" max="10521" width="15.5703125" style="4" customWidth="1"/>
    <col min="10522" max="10522" width="9.140625" style="4"/>
    <col min="10523" max="10523" width="11.7109375" style="4" customWidth="1"/>
    <col min="10524" max="10524" width="12.28515625" style="4" customWidth="1"/>
    <col min="10525" max="10525" width="24.140625" style="4" customWidth="1"/>
    <col min="10526" max="10526" width="20.85546875" style="4" customWidth="1"/>
    <col min="10527" max="10761" width="9.140625" style="4"/>
    <col min="10762" max="10762" width="14.5703125" style="4" bestFit="1" customWidth="1"/>
    <col min="10763" max="10763" width="34.85546875" style="4" customWidth="1"/>
    <col min="10764" max="10764" width="9.85546875" style="4" customWidth="1"/>
    <col min="10765" max="10766" width="17" style="4" customWidth="1"/>
    <col min="10767" max="10767" width="17.42578125" style="4" customWidth="1"/>
    <col min="10768" max="10773" width="9.140625" style="4"/>
    <col min="10774" max="10775" width="11.7109375" style="4" customWidth="1"/>
    <col min="10776" max="10776" width="13" style="4" customWidth="1"/>
    <col min="10777" max="10777" width="15.5703125" style="4" customWidth="1"/>
    <col min="10778" max="10778" width="9.140625" style="4"/>
    <col min="10779" max="10779" width="11.7109375" style="4" customWidth="1"/>
    <col min="10780" max="10780" width="12.28515625" style="4" customWidth="1"/>
    <col min="10781" max="10781" width="24.140625" style="4" customWidth="1"/>
    <col min="10782" max="10782" width="20.85546875" style="4" customWidth="1"/>
    <col min="10783" max="11017" width="9.140625" style="4"/>
    <col min="11018" max="11018" width="14.5703125" style="4" bestFit="1" customWidth="1"/>
    <col min="11019" max="11019" width="34.85546875" style="4" customWidth="1"/>
    <col min="11020" max="11020" width="9.85546875" style="4" customWidth="1"/>
    <col min="11021" max="11022" width="17" style="4" customWidth="1"/>
    <col min="11023" max="11023" width="17.42578125" style="4" customWidth="1"/>
    <col min="11024" max="11029" width="9.140625" style="4"/>
    <col min="11030" max="11031" width="11.7109375" style="4" customWidth="1"/>
    <col min="11032" max="11032" width="13" style="4" customWidth="1"/>
    <col min="11033" max="11033" width="15.5703125" style="4" customWidth="1"/>
    <col min="11034" max="11034" width="9.140625" style="4"/>
    <col min="11035" max="11035" width="11.7109375" style="4" customWidth="1"/>
    <col min="11036" max="11036" width="12.28515625" style="4" customWidth="1"/>
    <col min="11037" max="11037" width="24.140625" style="4" customWidth="1"/>
    <col min="11038" max="11038" width="20.85546875" style="4" customWidth="1"/>
    <col min="11039" max="11273" width="9.140625" style="4"/>
    <col min="11274" max="11274" width="14.5703125" style="4" bestFit="1" customWidth="1"/>
    <col min="11275" max="11275" width="34.85546875" style="4" customWidth="1"/>
    <col min="11276" max="11276" width="9.85546875" style="4" customWidth="1"/>
    <col min="11277" max="11278" width="17" style="4" customWidth="1"/>
    <col min="11279" max="11279" width="17.42578125" style="4" customWidth="1"/>
    <col min="11280" max="11285" width="9.140625" style="4"/>
    <col min="11286" max="11287" width="11.7109375" style="4" customWidth="1"/>
    <col min="11288" max="11288" width="13" style="4" customWidth="1"/>
    <col min="11289" max="11289" width="15.5703125" style="4" customWidth="1"/>
    <col min="11290" max="11290" width="9.140625" style="4"/>
    <col min="11291" max="11291" width="11.7109375" style="4" customWidth="1"/>
    <col min="11292" max="11292" width="12.28515625" style="4" customWidth="1"/>
    <col min="11293" max="11293" width="24.140625" style="4" customWidth="1"/>
    <col min="11294" max="11294" width="20.85546875" style="4" customWidth="1"/>
    <col min="11295" max="11529" width="9.140625" style="4"/>
    <col min="11530" max="11530" width="14.5703125" style="4" bestFit="1" customWidth="1"/>
    <col min="11531" max="11531" width="34.85546875" style="4" customWidth="1"/>
    <col min="11532" max="11532" width="9.85546875" style="4" customWidth="1"/>
    <col min="11533" max="11534" width="17" style="4" customWidth="1"/>
    <col min="11535" max="11535" width="17.42578125" style="4" customWidth="1"/>
    <col min="11536" max="11541" width="9.140625" style="4"/>
    <col min="11542" max="11543" width="11.7109375" style="4" customWidth="1"/>
    <col min="11544" max="11544" width="13" style="4" customWidth="1"/>
    <col min="11545" max="11545" width="15.5703125" style="4" customWidth="1"/>
    <col min="11546" max="11546" width="9.140625" style="4"/>
    <col min="11547" max="11547" width="11.7109375" style="4" customWidth="1"/>
    <col min="11548" max="11548" width="12.28515625" style="4" customWidth="1"/>
    <col min="11549" max="11549" width="24.140625" style="4" customWidth="1"/>
    <col min="11550" max="11550" width="20.85546875" style="4" customWidth="1"/>
    <col min="11551" max="11785" width="9.140625" style="4"/>
    <col min="11786" max="11786" width="14.5703125" style="4" bestFit="1" customWidth="1"/>
    <col min="11787" max="11787" width="34.85546875" style="4" customWidth="1"/>
    <col min="11788" max="11788" width="9.85546875" style="4" customWidth="1"/>
    <col min="11789" max="11790" width="17" style="4" customWidth="1"/>
    <col min="11791" max="11791" width="17.42578125" style="4" customWidth="1"/>
    <col min="11792" max="11797" width="9.140625" style="4"/>
    <col min="11798" max="11799" width="11.7109375" style="4" customWidth="1"/>
    <col min="11800" max="11800" width="13" style="4" customWidth="1"/>
    <col min="11801" max="11801" width="15.5703125" style="4" customWidth="1"/>
    <col min="11802" max="11802" width="9.140625" style="4"/>
    <col min="11803" max="11803" width="11.7109375" style="4" customWidth="1"/>
    <col min="11804" max="11804" width="12.28515625" style="4" customWidth="1"/>
    <col min="11805" max="11805" width="24.140625" style="4" customWidth="1"/>
    <col min="11806" max="11806" width="20.85546875" style="4" customWidth="1"/>
    <col min="11807" max="12041" width="9.140625" style="4"/>
    <col min="12042" max="12042" width="14.5703125" style="4" bestFit="1" customWidth="1"/>
    <col min="12043" max="12043" width="34.85546875" style="4" customWidth="1"/>
    <col min="12044" max="12044" width="9.85546875" style="4" customWidth="1"/>
    <col min="12045" max="12046" width="17" style="4" customWidth="1"/>
    <col min="12047" max="12047" width="17.42578125" style="4" customWidth="1"/>
    <col min="12048" max="12053" width="9.140625" style="4"/>
    <col min="12054" max="12055" width="11.7109375" style="4" customWidth="1"/>
    <col min="12056" max="12056" width="13" style="4" customWidth="1"/>
    <col min="12057" max="12057" width="15.5703125" style="4" customWidth="1"/>
    <col min="12058" max="12058" width="9.140625" style="4"/>
    <col min="12059" max="12059" width="11.7109375" style="4" customWidth="1"/>
    <col min="12060" max="12060" width="12.28515625" style="4" customWidth="1"/>
    <col min="12061" max="12061" width="24.140625" style="4" customWidth="1"/>
    <col min="12062" max="12062" width="20.85546875" style="4" customWidth="1"/>
    <col min="12063" max="12297" width="9.140625" style="4"/>
    <col min="12298" max="12298" width="14.5703125" style="4" bestFit="1" customWidth="1"/>
    <col min="12299" max="12299" width="34.85546875" style="4" customWidth="1"/>
    <col min="12300" max="12300" width="9.85546875" style="4" customWidth="1"/>
    <col min="12301" max="12302" width="17" style="4" customWidth="1"/>
    <col min="12303" max="12303" width="17.42578125" style="4" customWidth="1"/>
    <col min="12304" max="12309" width="9.140625" style="4"/>
    <col min="12310" max="12311" width="11.7109375" style="4" customWidth="1"/>
    <col min="12312" max="12312" width="13" style="4" customWidth="1"/>
    <col min="12313" max="12313" width="15.5703125" style="4" customWidth="1"/>
    <col min="12314" max="12314" width="9.140625" style="4"/>
    <col min="12315" max="12315" width="11.7109375" style="4" customWidth="1"/>
    <col min="12316" max="12316" width="12.28515625" style="4" customWidth="1"/>
    <col min="12317" max="12317" width="24.140625" style="4" customWidth="1"/>
    <col min="12318" max="12318" width="20.85546875" style="4" customWidth="1"/>
    <col min="12319" max="12553" width="9.140625" style="4"/>
    <col min="12554" max="12554" width="14.5703125" style="4" bestFit="1" customWidth="1"/>
    <col min="12555" max="12555" width="34.85546875" style="4" customWidth="1"/>
    <col min="12556" max="12556" width="9.85546875" style="4" customWidth="1"/>
    <col min="12557" max="12558" width="17" style="4" customWidth="1"/>
    <col min="12559" max="12559" width="17.42578125" style="4" customWidth="1"/>
    <col min="12560" max="12565" width="9.140625" style="4"/>
    <col min="12566" max="12567" width="11.7109375" style="4" customWidth="1"/>
    <col min="12568" max="12568" width="13" style="4" customWidth="1"/>
    <col min="12569" max="12569" width="15.5703125" style="4" customWidth="1"/>
    <col min="12570" max="12570" width="9.140625" style="4"/>
    <col min="12571" max="12571" width="11.7109375" style="4" customWidth="1"/>
    <col min="12572" max="12572" width="12.28515625" style="4" customWidth="1"/>
    <col min="12573" max="12573" width="24.140625" style="4" customWidth="1"/>
    <col min="12574" max="12574" width="20.85546875" style="4" customWidth="1"/>
    <col min="12575" max="12809" width="9.140625" style="4"/>
    <col min="12810" max="12810" width="14.5703125" style="4" bestFit="1" customWidth="1"/>
    <col min="12811" max="12811" width="34.85546875" style="4" customWidth="1"/>
    <col min="12812" max="12812" width="9.85546875" style="4" customWidth="1"/>
    <col min="12813" max="12814" width="17" style="4" customWidth="1"/>
    <col min="12815" max="12815" width="17.42578125" style="4" customWidth="1"/>
    <col min="12816" max="12821" width="9.140625" style="4"/>
    <col min="12822" max="12823" width="11.7109375" style="4" customWidth="1"/>
    <col min="12824" max="12824" width="13" style="4" customWidth="1"/>
    <col min="12825" max="12825" width="15.5703125" style="4" customWidth="1"/>
    <col min="12826" max="12826" width="9.140625" style="4"/>
    <col min="12827" max="12827" width="11.7109375" style="4" customWidth="1"/>
    <col min="12828" max="12828" width="12.28515625" style="4" customWidth="1"/>
    <col min="12829" max="12829" width="24.140625" style="4" customWidth="1"/>
    <col min="12830" max="12830" width="20.85546875" style="4" customWidth="1"/>
    <col min="12831" max="13065" width="9.140625" style="4"/>
    <col min="13066" max="13066" width="14.5703125" style="4" bestFit="1" customWidth="1"/>
    <col min="13067" max="13067" width="34.85546875" style="4" customWidth="1"/>
    <col min="13068" max="13068" width="9.85546875" style="4" customWidth="1"/>
    <col min="13069" max="13070" width="17" style="4" customWidth="1"/>
    <col min="13071" max="13071" width="17.42578125" style="4" customWidth="1"/>
    <col min="13072" max="13077" width="9.140625" style="4"/>
    <col min="13078" max="13079" width="11.7109375" style="4" customWidth="1"/>
    <col min="13080" max="13080" width="13" style="4" customWidth="1"/>
    <col min="13081" max="13081" width="15.5703125" style="4" customWidth="1"/>
    <col min="13082" max="13082" width="9.140625" style="4"/>
    <col min="13083" max="13083" width="11.7109375" style="4" customWidth="1"/>
    <col min="13084" max="13084" width="12.28515625" style="4" customWidth="1"/>
    <col min="13085" max="13085" width="24.140625" style="4" customWidth="1"/>
    <col min="13086" max="13086" width="20.85546875" style="4" customWidth="1"/>
    <col min="13087" max="13321" width="9.140625" style="4"/>
    <col min="13322" max="13322" width="14.5703125" style="4" bestFit="1" customWidth="1"/>
    <col min="13323" max="13323" width="34.85546875" style="4" customWidth="1"/>
    <col min="13324" max="13324" width="9.85546875" style="4" customWidth="1"/>
    <col min="13325" max="13326" width="17" style="4" customWidth="1"/>
    <col min="13327" max="13327" width="17.42578125" style="4" customWidth="1"/>
    <col min="13328" max="13333" width="9.140625" style="4"/>
    <col min="13334" max="13335" width="11.7109375" style="4" customWidth="1"/>
    <col min="13336" max="13336" width="13" style="4" customWidth="1"/>
    <col min="13337" max="13337" width="15.5703125" style="4" customWidth="1"/>
    <col min="13338" max="13338" width="9.140625" style="4"/>
    <col min="13339" max="13339" width="11.7109375" style="4" customWidth="1"/>
    <col min="13340" max="13340" width="12.28515625" style="4" customWidth="1"/>
    <col min="13341" max="13341" width="24.140625" style="4" customWidth="1"/>
    <col min="13342" max="13342" width="20.85546875" style="4" customWidth="1"/>
    <col min="13343" max="13577" width="9.140625" style="4"/>
    <col min="13578" max="13578" width="14.5703125" style="4" bestFit="1" customWidth="1"/>
    <col min="13579" max="13579" width="34.85546875" style="4" customWidth="1"/>
    <col min="13580" max="13580" width="9.85546875" style="4" customWidth="1"/>
    <col min="13581" max="13582" width="17" style="4" customWidth="1"/>
    <col min="13583" max="13583" width="17.42578125" style="4" customWidth="1"/>
    <col min="13584" max="13589" width="9.140625" style="4"/>
    <col min="13590" max="13591" width="11.7109375" style="4" customWidth="1"/>
    <col min="13592" max="13592" width="13" style="4" customWidth="1"/>
    <col min="13593" max="13593" width="15.5703125" style="4" customWidth="1"/>
    <col min="13594" max="13594" width="9.140625" style="4"/>
    <col min="13595" max="13595" width="11.7109375" style="4" customWidth="1"/>
    <col min="13596" max="13596" width="12.28515625" style="4" customWidth="1"/>
    <col min="13597" max="13597" width="24.140625" style="4" customWidth="1"/>
    <col min="13598" max="13598" width="20.85546875" style="4" customWidth="1"/>
    <col min="13599" max="13833" width="9.140625" style="4"/>
    <col min="13834" max="13834" width="14.5703125" style="4" bestFit="1" customWidth="1"/>
    <col min="13835" max="13835" width="34.85546875" style="4" customWidth="1"/>
    <col min="13836" max="13836" width="9.85546875" style="4" customWidth="1"/>
    <col min="13837" max="13838" width="17" style="4" customWidth="1"/>
    <col min="13839" max="13839" width="17.42578125" style="4" customWidth="1"/>
    <col min="13840" max="13845" width="9.140625" style="4"/>
    <col min="13846" max="13847" width="11.7109375" style="4" customWidth="1"/>
    <col min="13848" max="13848" width="13" style="4" customWidth="1"/>
    <col min="13849" max="13849" width="15.5703125" style="4" customWidth="1"/>
    <col min="13850" max="13850" width="9.140625" style="4"/>
    <col min="13851" max="13851" width="11.7109375" style="4" customWidth="1"/>
    <col min="13852" max="13852" width="12.28515625" style="4" customWidth="1"/>
    <col min="13853" max="13853" width="24.140625" style="4" customWidth="1"/>
    <col min="13854" max="13854" width="20.85546875" style="4" customWidth="1"/>
    <col min="13855" max="14089" width="9.140625" style="4"/>
    <col min="14090" max="14090" width="14.5703125" style="4" bestFit="1" customWidth="1"/>
    <col min="14091" max="14091" width="34.85546875" style="4" customWidth="1"/>
    <col min="14092" max="14092" width="9.85546875" style="4" customWidth="1"/>
    <col min="14093" max="14094" width="17" style="4" customWidth="1"/>
    <col min="14095" max="14095" width="17.42578125" style="4" customWidth="1"/>
    <col min="14096" max="14101" width="9.140625" style="4"/>
    <col min="14102" max="14103" width="11.7109375" style="4" customWidth="1"/>
    <col min="14104" max="14104" width="13" style="4" customWidth="1"/>
    <col min="14105" max="14105" width="15.5703125" style="4" customWidth="1"/>
    <col min="14106" max="14106" width="9.140625" style="4"/>
    <col min="14107" max="14107" width="11.7109375" style="4" customWidth="1"/>
    <col min="14108" max="14108" width="12.28515625" style="4" customWidth="1"/>
    <col min="14109" max="14109" width="24.140625" style="4" customWidth="1"/>
    <col min="14110" max="14110" width="20.85546875" style="4" customWidth="1"/>
    <col min="14111" max="14345" width="9.140625" style="4"/>
    <col min="14346" max="14346" width="14.5703125" style="4" bestFit="1" customWidth="1"/>
    <col min="14347" max="14347" width="34.85546875" style="4" customWidth="1"/>
    <col min="14348" max="14348" width="9.85546875" style="4" customWidth="1"/>
    <col min="14349" max="14350" width="17" style="4" customWidth="1"/>
    <col min="14351" max="14351" width="17.42578125" style="4" customWidth="1"/>
    <col min="14352" max="14357" width="9.140625" style="4"/>
    <col min="14358" max="14359" width="11.7109375" style="4" customWidth="1"/>
    <col min="14360" max="14360" width="13" style="4" customWidth="1"/>
    <col min="14361" max="14361" width="15.5703125" style="4" customWidth="1"/>
    <col min="14362" max="14362" width="9.140625" style="4"/>
    <col min="14363" max="14363" width="11.7109375" style="4" customWidth="1"/>
    <col min="14364" max="14364" width="12.28515625" style="4" customWidth="1"/>
    <col min="14365" max="14365" width="24.140625" style="4" customWidth="1"/>
    <col min="14366" max="14366" width="20.85546875" style="4" customWidth="1"/>
    <col min="14367" max="14601" width="9.140625" style="4"/>
    <col min="14602" max="14602" width="14.5703125" style="4" bestFit="1" customWidth="1"/>
    <col min="14603" max="14603" width="34.85546875" style="4" customWidth="1"/>
    <col min="14604" max="14604" width="9.85546875" style="4" customWidth="1"/>
    <col min="14605" max="14606" width="17" style="4" customWidth="1"/>
    <col min="14607" max="14607" width="17.42578125" style="4" customWidth="1"/>
    <col min="14608" max="14613" width="9.140625" style="4"/>
    <col min="14614" max="14615" width="11.7109375" style="4" customWidth="1"/>
    <col min="14616" max="14616" width="13" style="4" customWidth="1"/>
    <col min="14617" max="14617" width="15.5703125" style="4" customWidth="1"/>
    <col min="14618" max="14618" width="9.140625" style="4"/>
    <col min="14619" max="14619" width="11.7109375" style="4" customWidth="1"/>
    <col min="14620" max="14620" width="12.28515625" style="4" customWidth="1"/>
    <col min="14621" max="14621" width="24.140625" style="4" customWidth="1"/>
    <col min="14622" max="14622" width="20.85546875" style="4" customWidth="1"/>
    <col min="14623" max="14857" width="9.140625" style="4"/>
    <col min="14858" max="14858" width="14.5703125" style="4" bestFit="1" customWidth="1"/>
    <col min="14859" max="14859" width="34.85546875" style="4" customWidth="1"/>
    <col min="14860" max="14860" width="9.85546875" style="4" customWidth="1"/>
    <col min="14861" max="14862" width="17" style="4" customWidth="1"/>
    <col min="14863" max="14863" width="17.42578125" style="4" customWidth="1"/>
    <col min="14864" max="14869" width="9.140625" style="4"/>
    <col min="14870" max="14871" width="11.7109375" style="4" customWidth="1"/>
    <col min="14872" max="14872" width="13" style="4" customWidth="1"/>
    <col min="14873" max="14873" width="15.5703125" style="4" customWidth="1"/>
    <col min="14874" max="14874" width="9.140625" style="4"/>
    <col min="14875" max="14875" width="11.7109375" style="4" customWidth="1"/>
    <col min="14876" max="14876" width="12.28515625" style="4" customWidth="1"/>
    <col min="14877" max="14877" width="24.140625" style="4" customWidth="1"/>
    <col min="14878" max="14878" width="20.85546875" style="4" customWidth="1"/>
    <col min="14879" max="15113" width="9.140625" style="4"/>
    <col min="15114" max="15114" width="14.5703125" style="4" bestFit="1" customWidth="1"/>
    <col min="15115" max="15115" width="34.85546875" style="4" customWidth="1"/>
    <col min="15116" max="15116" width="9.85546875" style="4" customWidth="1"/>
    <col min="15117" max="15118" width="17" style="4" customWidth="1"/>
    <col min="15119" max="15119" width="17.42578125" style="4" customWidth="1"/>
    <col min="15120" max="15125" width="9.140625" style="4"/>
    <col min="15126" max="15127" width="11.7109375" style="4" customWidth="1"/>
    <col min="15128" max="15128" width="13" style="4" customWidth="1"/>
    <col min="15129" max="15129" width="15.5703125" style="4" customWidth="1"/>
    <col min="15130" max="15130" width="9.140625" style="4"/>
    <col min="15131" max="15131" width="11.7109375" style="4" customWidth="1"/>
    <col min="15132" max="15132" width="12.28515625" style="4" customWidth="1"/>
    <col min="15133" max="15133" width="24.140625" style="4" customWidth="1"/>
    <col min="15134" max="15134" width="20.85546875" style="4" customWidth="1"/>
    <col min="15135" max="15369" width="9.140625" style="4"/>
    <col min="15370" max="15370" width="14.5703125" style="4" bestFit="1" customWidth="1"/>
    <col min="15371" max="15371" width="34.85546875" style="4" customWidth="1"/>
    <col min="15372" max="15372" width="9.85546875" style="4" customWidth="1"/>
    <col min="15373" max="15374" width="17" style="4" customWidth="1"/>
    <col min="15375" max="15375" width="17.42578125" style="4" customWidth="1"/>
    <col min="15376" max="15381" width="9.140625" style="4"/>
    <col min="15382" max="15383" width="11.7109375" style="4" customWidth="1"/>
    <col min="15384" max="15384" width="13" style="4" customWidth="1"/>
    <col min="15385" max="15385" width="15.5703125" style="4" customWidth="1"/>
    <col min="15386" max="15386" width="9.140625" style="4"/>
    <col min="15387" max="15387" width="11.7109375" style="4" customWidth="1"/>
    <col min="15388" max="15388" width="12.28515625" style="4" customWidth="1"/>
    <col min="15389" max="15389" width="24.140625" style="4" customWidth="1"/>
    <col min="15390" max="15390" width="20.85546875" style="4" customWidth="1"/>
    <col min="15391" max="15625" width="9.140625" style="4"/>
    <col min="15626" max="15626" width="14.5703125" style="4" bestFit="1" customWidth="1"/>
    <col min="15627" max="15627" width="34.85546875" style="4" customWidth="1"/>
    <col min="15628" max="15628" width="9.85546875" style="4" customWidth="1"/>
    <col min="15629" max="15630" width="17" style="4" customWidth="1"/>
    <col min="15631" max="15631" width="17.42578125" style="4" customWidth="1"/>
    <col min="15632" max="15637" width="9.140625" style="4"/>
    <col min="15638" max="15639" width="11.7109375" style="4" customWidth="1"/>
    <col min="15640" max="15640" width="13" style="4" customWidth="1"/>
    <col min="15641" max="15641" width="15.5703125" style="4" customWidth="1"/>
    <col min="15642" max="15642" width="9.140625" style="4"/>
    <col min="15643" max="15643" width="11.7109375" style="4" customWidth="1"/>
    <col min="15644" max="15644" width="12.28515625" style="4" customWidth="1"/>
    <col min="15645" max="15645" width="24.140625" style="4" customWidth="1"/>
    <col min="15646" max="15646" width="20.85546875" style="4" customWidth="1"/>
    <col min="15647" max="15881" width="9.140625" style="4"/>
    <col min="15882" max="15882" width="14.5703125" style="4" bestFit="1" customWidth="1"/>
    <col min="15883" max="15883" width="34.85546875" style="4" customWidth="1"/>
    <col min="15884" max="15884" width="9.85546875" style="4" customWidth="1"/>
    <col min="15885" max="15886" width="17" style="4" customWidth="1"/>
    <col min="15887" max="15887" width="17.42578125" style="4" customWidth="1"/>
    <col min="15888" max="15893" width="9.140625" style="4"/>
    <col min="15894" max="15895" width="11.7109375" style="4" customWidth="1"/>
    <col min="15896" max="15896" width="13" style="4" customWidth="1"/>
    <col min="15897" max="15897" width="15.5703125" style="4" customWidth="1"/>
    <col min="15898" max="15898" width="9.140625" style="4"/>
    <col min="15899" max="15899" width="11.7109375" style="4" customWidth="1"/>
    <col min="15900" max="15900" width="12.28515625" style="4" customWidth="1"/>
    <col min="15901" max="15901" width="24.140625" style="4" customWidth="1"/>
    <col min="15902" max="15902" width="20.85546875" style="4" customWidth="1"/>
    <col min="15903" max="16137" width="9.140625" style="4"/>
    <col min="16138" max="16138" width="14.5703125" style="4" bestFit="1" customWidth="1"/>
    <col min="16139" max="16139" width="34.85546875" style="4" customWidth="1"/>
    <col min="16140" max="16140" width="9.85546875" style="4" customWidth="1"/>
    <col min="16141" max="16142" width="17" style="4" customWidth="1"/>
    <col min="16143" max="16143" width="17.42578125" style="4" customWidth="1"/>
    <col min="16144" max="16149" width="9.140625" style="4"/>
    <col min="16150" max="16151" width="11.7109375" style="4" customWidth="1"/>
    <col min="16152" max="16152" width="13" style="4" customWidth="1"/>
    <col min="16153" max="16153" width="15.5703125" style="4" customWidth="1"/>
    <col min="16154" max="16154" width="9.140625" style="4"/>
    <col min="16155" max="16155" width="11.7109375" style="4" customWidth="1"/>
    <col min="16156" max="16156" width="12.28515625" style="4" customWidth="1"/>
    <col min="16157" max="16157" width="24.140625" style="4" customWidth="1"/>
    <col min="16158" max="16158" width="20.85546875" style="4" customWidth="1"/>
    <col min="16159" max="16384" width="9.140625" style="4"/>
  </cols>
  <sheetData>
    <row r="1" spans="1:30" s="1" customFormat="1" ht="25.5" hidden="1">
      <c r="A1" s="6" t="s">
        <v>55</v>
      </c>
      <c r="B1" s="6"/>
      <c r="C1" s="6"/>
      <c r="D1" s="6"/>
      <c r="E1" s="7"/>
      <c r="F1" s="7"/>
      <c r="G1" s="8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5"/>
      <c r="Y1" s="6" t="s">
        <v>20</v>
      </c>
      <c r="Z1" s="6"/>
      <c r="AA1" s="6"/>
      <c r="AB1" s="7"/>
      <c r="AC1" s="8"/>
      <c r="AD1" s="5"/>
    </row>
    <row r="2" spans="1:30" s="1" customFormat="1" ht="25.5" hidden="1">
      <c r="A2" s="6" t="s">
        <v>54</v>
      </c>
      <c r="B2" s="6"/>
      <c r="C2" s="6"/>
      <c r="D2" s="6"/>
      <c r="E2" s="7"/>
      <c r="F2" s="7"/>
      <c r="G2" s="8"/>
      <c r="H2" s="3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5"/>
      <c r="Y2" s="6" t="s">
        <v>49</v>
      </c>
      <c r="Z2" s="6"/>
      <c r="AA2" s="6"/>
      <c r="AB2" s="7"/>
      <c r="AC2" s="8"/>
      <c r="AD2" s="5"/>
    </row>
    <row r="3" spans="1:30" s="1" customFormat="1" ht="25.5" hidden="1">
      <c r="A3" s="6" t="s">
        <v>52</v>
      </c>
      <c r="B3" s="6"/>
      <c r="C3" s="6"/>
      <c r="D3" s="6"/>
      <c r="E3" s="7"/>
      <c r="F3" s="7"/>
      <c r="G3" s="8"/>
      <c r="H3" s="3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5"/>
      <c r="Y3" s="6" t="s">
        <v>48</v>
      </c>
      <c r="Z3" s="6"/>
      <c r="AA3" s="6"/>
      <c r="AB3" s="7"/>
      <c r="AC3" s="8"/>
      <c r="AD3" s="5"/>
    </row>
    <row r="4" spans="1:30" s="1" customFormat="1" ht="25.5" hidden="1">
      <c r="A4" s="6" t="s">
        <v>53</v>
      </c>
      <c r="B4" s="6"/>
      <c r="C4" s="6"/>
      <c r="D4" s="6"/>
      <c r="E4" s="7"/>
      <c r="F4" s="7"/>
      <c r="G4" s="8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5"/>
      <c r="Y4" s="6" t="s">
        <v>50</v>
      </c>
      <c r="Z4" s="6"/>
      <c r="AA4" s="6"/>
      <c r="AB4" s="7"/>
      <c r="AC4" s="8"/>
      <c r="AD4" s="5"/>
    </row>
    <row r="5" spans="1:30" s="1" customFormat="1" ht="25.5" hidden="1">
      <c r="A5" s="6"/>
      <c r="B5" s="6"/>
      <c r="C5" s="6"/>
      <c r="D5" s="6"/>
      <c r="E5" s="7"/>
      <c r="F5" s="7"/>
      <c r="G5" s="8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5"/>
      <c r="Y5" s="6"/>
      <c r="Z5" s="6"/>
      <c r="AA5" s="6"/>
      <c r="AB5" s="7"/>
      <c r="AC5" s="8"/>
      <c r="AD5" s="5"/>
    </row>
    <row r="6" spans="1:30" s="1" customFormat="1" ht="25.5" hidden="1">
      <c r="A6" s="6"/>
      <c r="B6" s="6"/>
      <c r="C6" s="6"/>
      <c r="D6" s="6"/>
      <c r="E6" s="7"/>
      <c r="F6" s="7"/>
      <c r="G6" s="8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5"/>
      <c r="Y6" s="6"/>
      <c r="Z6" s="6"/>
      <c r="AA6" s="6"/>
      <c r="AB6" s="7"/>
      <c r="AC6" s="8"/>
      <c r="AD6" s="5"/>
    </row>
    <row r="7" spans="1:30" s="1" customFormat="1" ht="25.5" hidden="1">
      <c r="A7" s="10"/>
      <c r="B7" s="10"/>
      <c r="C7" s="10"/>
      <c r="D7" s="10"/>
      <c r="E7" s="11"/>
      <c r="F7" s="7"/>
      <c r="G7" s="8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5"/>
      <c r="Y7" s="10"/>
      <c r="Z7" s="10"/>
      <c r="AA7" s="10"/>
      <c r="AB7" s="11"/>
      <c r="AC7" s="8"/>
      <c r="AD7" s="5"/>
    </row>
    <row r="8" spans="1:30" s="1" customFormat="1" ht="25.5" hidden="1">
      <c r="A8" s="6"/>
      <c r="B8" s="6"/>
      <c r="C8" s="6"/>
      <c r="D8" s="6"/>
      <c r="E8" s="7"/>
      <c r="F8" s="7"/>
      <c r="G8" s="8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5"/>
      <c r="Y8" s="6"/>
      <c r="Z8" s="6"/>
      <c r="AA8" s="6"/>
      <c r="AB8" s="7"/>
      <c r="AC8" s="8"/>
      <c r="AD8" s="5"/>
    </row>
    <row r="9" spans="1:30" s="1" customFormat="1" ht="25.5" hidden="1">
      <c r="A9" s="9" t="s">
        <v>51</v>
      </c>
      <c r="B9" s="6"/>
      <c r="C9" s="6"/>
      <c r="D9" s="6"/>
      <c r="E9" s="7"/>
      <c r="F9" s="7"/>
      <c r="G9" s="8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5"/>
      <c r="Y9" s="9" t="s">
        <v>51</v>
      </c>
      <c r="Z9" s="6"/>
      <c r="AA9" s="6"/>
      <c r="AB9" s="7"/>
      <c r="AC9" s="8"/>
      <c r="AD9" s="5"/>
    </row>
    <row r="10" spans="1:30" s="1" customFormat="1" ht="23.25" hidden="1">
      <c r="A10" s="2"/>
      <c r="B10" s="2"/>
      <c r="C10" s="2"/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5"/>
      <c r="Y10" s="5"/>
      <c r="Z10" s="5"/>
      <c r="AA10" s="5"/>
      <c r="AB10" s="5"/>
      <c r="AC10" s="5"/>
      <c r="AD10" s="5"/>
    </row>
    <row r="11" spans="1:30" s="1" customFormat="1" ht="23.25" hidden="1">
      <c r="A11" s="2"/>
      <c r="B11" s="2"/>
      <c r="C11" s="2"/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5"/>
      <c r="Y11" s="5"/>
      <c r="Z11" s="5"/>
      <c r="AA11" s="5"/>
      <c r="AB11" s="5"/>
      <c r="AC11" s="5"/>
      <c r="AD11" s="5"/>
    </row>
    <row r="12" spans="1:30" s="1" customFormat="1" ht="23.25" hidden="1">
      <c r="A12" s="2"/>
      <c r="B12" s="2"/>
      <c r="C12" s="2"/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5"/>
      <c r="Y12" s="5"/>
      <c r="Z12" s="5"/>
      <c r="AA12" s="5"/>
      <c r="AB12" s="5"/>
      <c r="AC12" s="5"/>
      <c r="AD12" s="5"/>
    </row>
    <row r="13" spans="1:30" s="1" customFormat="1" ht="23.25" hidden="1">
      <c r="A13" s="2"/>
      <c r="B13" s="2"/>
      <c r="C13" s="2"/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</row>
    <row r="14" spans="1:30" s="1" customFormat="1" ht="95.25" customHeight="1">
      <c r="A14" s="71" t="s">
        <v>73</v>
      </c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71"/>
    </row>
    <row r="15" spans="1:30" s="1" customFormat="1" ht="23.25">
      <c r="A15" s="2"/>
      <c r="B15" s="2"/>
      <c r="C15" s="2"/>
      <c r="D15" s="2"/>
      <c r="E15" s="2"/>
      <c r="F15" s="63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1:30" s="1" customFormat="1" ht="50.25" customHeight="1">
      <c r="A16" s="68" t="s">
        <v>7</v>
      </c>
      <c r="B16" s="68" t="s">
        <v>21</v>
      </c>
      <c r="C16" s="68" t="s">
        <v>0</v>
      </c>
      <c r="D16" s="68" t="s">
        <v>56</v>
      </c>
      <c r="E16" s="72" t="s">
        <v>8</v>
      </c>
      <c r="F16" s="73" t="s">
        <v>76</v>
      </c>
      <c r="G16" s="68" t="s">
        <v>1</v>
      </c>
      <c r="H16" s="74" t="s">
        <v>2</v>
      </c>
      <c r="I16" s="68" t="s">
        <v>23</v>
      </c>
      <c r="J16" s="68"/>
      <c r="K16" s="68" t="s">
        <v>24</v>
      </c>
      <c r="L16" s="69" t="s">
        <v>22</v>
      </c>
      <c r="M16" s="69"/>
      <c r="N16" s="69"/>
      <c r="O16" s="68" t="s">
        <v>25</v>
      </c>
      <c r="P16" s="68"/>
      <c r="Q16" s="68" t="s">
        <v>19</v>
      </c>
      <c r="R16" s="68" t="s">
        <v>75</v>
      </c>
      <c r="S16" s="68" t="s">
        <v>19</v>
      </c>
      <c r="T16" s="69" t="s">
        <v>26</v>
      </c>
      <c r="U16" s="69"/>
      <c r="V16" s="69"/>
      <c r="W16" s="69"/>
      <c r="X16" s="69" t="s">
        <v>9</v>
      </c>
      <c r="Y16" s="69"/>
      <c r="Z16" s="68" t="s">
        <v>66</v>
      </c>
      <c r="AA16" s="68"/>
      <c r="AB16" s="68"/>
      <c r="AC16" s="69" t="s">
        <v>27</v>
      </c>
      <c r="AD16" s="69" t="s">
        <v>10</v>
      </c>
    </row>
    <row r="17" spans="1:30" s="1" customFormat="1" ht="47.25">
      <c r="A17" s="68"/>
      <c r="B17" s="68"/>
      <c r="C17" s="68"/>
      <c r="D17" s="68"/>
      <c r="E17" s="72"/>
      <c r="F17" s="73"/>
      <c r="G17" s="68"/>
      <c r="H17" s="74"/>
      <c r="I17" s="64" t="s">
        <v>11</v>
      </c>
      <c r="J17" s="64" t="s">
        <v>3</v>
      </c>
      <c r="K17" s="68"/>
      <c r="L17" s="65" t="s">
        <v>4</v>
      </c>
      <c r="M17" s="65" t="s">
        <v>5</v>
      </c>
      <c r="N17" s="65" t="s">
        <v>6</v>
      </c>
      <c r="O17" s="67" t="s">
        <v>71</v>
      </c>
      <c r="P17" s="67" t="s">
        <v>74</v>
      </c>
      <c r="Q17" s="68"/>
      <c r="R17" s="68"/>
      <c r="S17" s="68"/>
      <c r="T17" s="69" t="s">
        <v>12</v>
      </c>
      <c r="U17" s="69"/>
      <c r="V17" s="69" t="s">
        <v>13</v>
      </c>
      <c r="W17" s="69"/>
      <c r="X17" s="65" t="s">
        <v>14</v>
      </c>
      <c r="Y17" s="65" t="s">
        <v>15</v>
      </c>
      <c r="Z17" s="64" t="s">
        <v>16</v>
      </c>
      <c r="AA17" s="64" t="s">
        <v>17</v>
      </c>
      <c r="AB17" s="64" t="s">
        <v>18</v>
      </c>
      <c r="AC17" s="69"/>
      <c r="AD17" s="69"/>
    </row>
    <row r="18" spans="1:30" s="1" customFormat="1" ht="18" customHeight="1">
      <c r="A18" s="64">
        <v>1</v>
      </c>
      <c r="B18" s="64">
        <v>2</v>
      </c>
      <c r="C18" s="64">
        <v>3</v>
      </c>
      <c r="D18" s="64"/>
      <c r="E18" s="64">
        <v>5</v>
      </c>
      <c r="F18" s="64">
        <v>6</v>
      </c>
      <c r="G18" s="64">
        <v>7</v>
      </c>
      <c r="H18" s="64">
        <v>8</v>
      </c>
      <c r="I18" s="64">
        <v>9</v>
      </c>
      <c r="J18" s="64">
        <v>10</v>
      </c>
      <c r="K18" s="64">
        <v>11</v>
      </c>
      <c r="L18" s="64">
        <v>14</v>
      </c>
      <c r="M18" s="64">
        <v>15</v>
      </c>
      <c r="N18" s="64">
        <v>16</v>
      </c>
      <c r="O18" s="64">
        <v>17</v>
      </c>
      <c r="P18" s="64">
        <v>18</v>
      </c>
      <c r="Q18" s="64">
        <v>19</v>
      </c>
      <c r="R18" s="64">
        <v>20</v>
      </c>
      <c r="S18" s="64">
        <v>21</v>
      </c>
      <c r="T18" s="64">
        <v>22</v>
      </c>
      <c r="U18" s="64">
        <v>23</v>
      </c>
      <c r="V18" s="64">
        <v>24</v>
      </c>
      <c r="W18" s="64">
        <v>25</v>
      </c>
      <c r="X18" s="64">
        <v>26</v>
      </c>
      <c r="Y18" s="64">
        <v>27</v>
      </c>
      <c r="Z18" s="64">
        <v>28</v>
      </c>
      <c r="AA18" s="64">
        <v>29</v>
      </c>
      <c r="AB18" s="64">
        <v>30</v>
      </c>
      <c r="AC18" s="64">
        <v>31</v>
      </c>
      <c r="AD18" s="64">
        <v>32</v>
      </c>
    </row>
    <row r="19" spans="1:30" s="57" customFormat="1" ht="20.25">
      <c r="A19" s="53">
        <v>1</v>
      </c>
      <c r="B19" s="53">
        <v>3</v>
      </c>
      <c r="C19" s="53">
        <v>9</v>
      </c>
      <c r="D19" s="53">
        <v>1</v>
      </c>
      <c r="E19" s="58"/>
      <c r="F19" s="58"/>
      <c r="G19" s="53" t="s">
        <v>28</v>
      </c>
      <c r="H19" s="53">
        <v>2</v>
      </c>
      <c r="I19" s="53">
        <v>8947</v>
      </c>
      <c r="J19" s="53">
        <v>2</v>
      </c>
      <c r="K19" s="53" t="s">
        <v>31</v>
      </c>
      <c r="L19" s="53">
        <v>1</v>
      </c>
      <c r="M19" s="53"/>
      <c r="N19" s="53"/>
      <c r="O19" s="55">
        <v>8.11</v>
      </c>
      <c r="P19" s="55">
        <v>8.07</v>
      </c>
      <c r="Q19" s="55">
        <f>P19-O19</f>
        <v>-3.9999999999999147E-2</v>
      </c>
      <c r="R19" s="55"/>
      <c r="S19" s="55" t="str">
        <f>IF(R19&gt;0,R19-P19,"")</f>
        <v/>
      </c>
      <c r="T19" s="12"/>
      <c r="U19" s="12"/>
      <c r="V19" s="12"/>
      <c r="W19" s="12"/>
      <c r="X19" s="53"/>
      <c r="Y19" s="53"/>
      <c r="Z19" s="54">
        <v>1</v>
      </c>
      <c r="AA19" s="54"/>
      <c r="AB19" s="56"/>
      <c r="AC19" s="53"/>
      <c r="AD19" s="59"/>
    </row>
    <row r="20" spans="1:30" s="57" customFormat="1" ht="20.25">
      <c r="A20" s="53">
        <v>2</v>
      </c>
      <c r="B20" s="53">
        <v>3</v>
      </c>
      <c r="C20" s="53">
        <v>9</v>
      </c>
      <c r="D20" s="53">
        <v>1</v>
      </c>
      <c r="E20" s="58"/>
      <c r="F20" s="58"/>
      <c r="G20" s="53" t="s">
        <v>28</v>
      </c>
      <c r="H20" s="53">
        <v>2</v>
      </c>
      <c r="I20" s="53">
        <v>8947</v>
      </c>
      <c r="J20" s="53">
        <v>5</v>
      </c>
      <c r="K20" s="53" t="s">
        <v>29</v>
      </c>
      <c r="L20" s="53">
        <v>1</v>
      </c>
      <c r="M20" s="53"/>
      <c r="N20" s="53"/>
      <c r="O20" s="55">
        <v>8.2799999999999994</v>
      </c>
      <c r="P20" s="55">
        <v>8.24</v>
      </c>
      <c r="Q20" s="55">
        <f t="shared" ref="Q20:Q45" si="0">P20-O20</f>
        <v>-3.9999999999999147E-2</v>
      </c>
      <c r="R20" s="55"/>
      <c r="S20" s="55" t="str">
        <f>IF(R20&gt;0,R20-P20,"")</f>
        <v/>
      </c>
      <c r="T20" s="12"/>
      <c r="U20" s="12"/>
      <c r="V20" s="12"/>
      <c r="W20" s="12"/>
      <c r="X20" s="53"/>
      <c r="Y20" s="53"/>
      <c r="Z20" s="54">
        <v>1</v>
      </c>
      <c r="AA20" s="54"/>
      <c r="AB20" s="56"/>
      <c r="AC20" s="53"/>
      <c r="AD20" s="59"/>
    </row>
    <row r="21" spans="1:30" s="57" customFormat="1" ht="20.25">
      <c r="A21" s="53">
        <v>3</v>
      </c>
      <c r="B21" s="53">
        <v>3</v>
      </c>
      <c r="C21" s="53">
        <v>9</v>
      </c>
      <c r="D21" s="53">
        <v>1</v>
      </c>
      <c r="E21" s="58"/>
      <c r="F21" s="58"/>
      <c r="G21" s="53" t="s">
        <v>28</v>
      </c>
      <c r="H21" s="53">
        <v>2</v>
      </c>
      <c r="I21" s="53">
        <v>8948</v>
      </c>
      <c r="J21" s="53">
        <v>8</v>
      </c>
      <c r="K21" s="53" t="s">
        <v>29</v>
      </c>
      <c r="L21" s="53">
        <v>1</v>
      </c>
      <c r="M21" s="53"/>
      <c r="N21" s="53"/>
      <c r="O21" s="55">
        <v>9.84</v>
      </c>
      <c r="P21" s="55">
        <v>9.8000000000000007</v>
      </c>
      <c r="Q21" s="55">
        <f t="shared" si="0"/>
        <v>-3.9999999999999147E-2</v>
      </c>
      <c r="R21" s="55"/>
      <c r="S21" s="55" t="str">
        <f t="shared" ref="S21:S83" si="1">IF(R21&gt;0,R21-P21,"")</f>
        <v/>
      </c>
      <c r="T21" s="12"/>
      <c r="U21" s="12"/>
      <c r="V21" s="12"/>
      <c r="W21" s="12"/>
      <c r="X21" s="53"/>
      <c r="Y21" s="53"/>
      <c r="Z21" s="54">
        <v>1</v>
      </c>
      <c r="AA21" s="54" t="s">
        <v>30</v>
      </c>
      <c r="AB21" s="56"/>
      <c r="AC21" s="53"/>
      <c r="AD21" s="59"/>
    </row>
    <row r="22" spans="1:30" s="57" customFormat="1" ht="20.25">
      <c r="A22" s="53">
        <v>4</v>
      </c>
      <c r="B22" s="53">
        <v>3</v>
      </c>
      <c r="C22" s="53">
        <v>9</v>
      </c>
      <c r="D22" s="53">
        <v>1</v>
      </c>
      <c r="E22" s="58"/>
      <c r="F22" s="58"/>
      <c r="G22" s="53" t="s">
        <v>28</v>
      </c>
      <c r="H22" s="53">
        <v>2</v>
      </c>
      <c r="I22" s="53">
        <v>8949</v>
      </c>
      <c r="J22" s="53">
        <v>4</v>
      </c>
      <c r="K22" s="53" t="s">
        <v>29</v>
      </c>
      <c r="L22" s="53">
        <v>1</v>
      </c>
      <c r="M22" s="53"/>
      <c r="N22" s="53"/>
      <c r="O22" s="55">
        <v>8.1199999999999992</v>
      </c>
      <c r="P22" s="55">
        <v>8.08</v>
      </c>
      <c r="Q22" s="55">
        <f t="shared" si="0"/>
        <v>-3.9999999999999147E-2</v>
      </c>
      <c r="R22" s="55"/>
      <c r="S22" s="55" t="str">
        <f t="shared" si="1"/>
        <v/>
      </c>
      <c r="T22" s="12"/>
      <c r="U22" s="12"/>
      <c r="V22" s="12"/>
      <c r="W22" s="12"/>
      <c r="X22" s="53"/>
      <c r="Y22" s="53"/>
      <c r="Z22" s="54">
        <v>1</v>
      </c>
      <c r="AA22" s="54"/>
      <c r="AB22" s="56"/>
      <c r="AC22" s="53"/>
      <c r="AD22" s="59"/>
    </row>
    <row r="23" spans="1:30" s="57" customFormat="1" ht="20.25">
      <c r="A23" s="53">
        <v>5</v>
      </c>
      <c r="B23" s="53">
        <v>3</v>
      </c>
      <c r="C23" s="53">
        <v>9</v>
      </c>
      <c r="D23" s="53">
        <v>1</v>
      </c>
      <c r="E23" s="58"/>
      <c r="F23" s="58"/>
      <c r="G23" s="53" t="s">
        <v>28</v>
      </c>
      <c r="H23" s="53">
        <v>2</v>
      </c>
      <c r="I23" s="53">
        <v>8949</v>
      </c>
      <c r="J23" s="53">
        <v>6</v>
      </c>
      <c r="K23" s="53" t="s">
        <v>31</v>
      </c>
      <c r="L23" s="53">
        <v>1</v>
      </c>
      <c r="M23" s="53"/>
      <c r="N23" s="53"/>
      <c r="O23" s="55">
        <v>8.24</v>
      </c>
      <c r="P23" s="55">
        <v>8.1999999999999993</v>
      </c>
      <c r="Q23" s="55">
        <f t="shared" si="0"/>
        <v>-4.0000000000000924E-2</v>
      </c>
      <c r="R23" s="55"/>
      <c r="S23" s="55" t="str">
        <f t="shared" si="1"/>
        <v/>
      </c>
      <c r="T23" s="12"/>
      <c r="U23" s="12"/>
      <c r="V23" s="12"/>
      <c r="W23" s="12"/>
      <c r="X23" s="53"/>
      <c r="Y23" s="53"/>
      <c r="Z23" s="54">
        <v>1</v>
      </c>
      <c r="AA23" s="54"/>
      <c r="AB23" s="56"/>
      <c r="AC23" s="53"/>
      <c r="AD23" s="59"/>
    </row>
    <row r="24" spans="1:30" s="57" customFormat="1" ht="20.25">
      <c r="A24" s="53">
        <v>6</v>
      </c>
      <c r="B24" s="53">
        <v>3</v>
      </c>
      <c r="C24" s="53">
        <v>9</v>
      </c>
      <c r="D24" s="53">
        <v>1</v>
      </c>
      <c r="E24" s="58"/>
      <c r="F24" s="58"/>
      <c r="G24" s="53" t="s">
        <v>28</v>
      </c>
      <c r="H24" s="53">
        <v>2</v>
      </c>
      <c r="I24" s="53">
        <v>8949</v>
      </c>
      <c r="J24" s="53">
        <v>7</v>
      </c>
      <c r="K24" s="53" t="s">
        <v>31</v>
      </c>
      <c r="L24" s="53">
        <v>1</v>
      </c>
      <c r="M24" s="53"/>
      <c r="N24" s="53"/>
      <c r="O24" s="55">
        <v>8.1999999999999993</v>
      </c>
      <c r="P24" s="55">
        <v>8.16</v>
      </c>
      <c r="Q24" s="55">
        <f t="shared" si="0"/>
        <v>-3.9999999999999147E-2</v>
      </c>
      <c r="R24" s="55"/>
      <c r="S24" s="55" t="str">
        <f t="shared" si="1"/>
        <v/>
      </c>
      <c r="T24" s="12"/>
      <c r="U24" s="12"/>
      <c r="V24" s="12"/>
      <c r="W24" s="12"/>
      <c r="X24" s="53"/>
      <c r="Y24" s="53"/>
      <c r="Z24" s="54">
        <v>1</v>
      </c>
      <c r="AA24" s="54"/>
      <c r="AB24" s="56"/>
      <c r="AC24" s="53"/>
      <c r="AD24" s="59"/>
    </row>
    <row r="25" spans="1:30" s="57" customFormat="1" ht="20.25">
      <c r="A25" s="53">
        <v>7</v>
      </c>
      <c r="B25" s="53">
        <v>3</v>
      </c>
      <c r="C25" s="53">
        <v>9</v>
      </c>
      <c r="D25" s="53">
        <v>1</v>
      </c>
      <c r="E25" s="58"/>
      <c r="F25" s="58"/>
      <c r="G25" s="53" t="s">
        <v>28</v>
      </c>
      <c r="H25" s="53">
        <v>2</v>
      </c>
      <c r="I25" s="53">
        <v>8951</v>
      </c>
      <c r="J25" s="53">
        <v>1</v>
      </c>
      <c r="K25" s="53" t="s">
        <v>29</v>
      </c>
      <c r="L25" s="53">
        <v>1</v>
      </c>
      <c r="M25" s="53"/>
      <c r="N25" s="53"/>
      <c r="O25" s="55">
        <v>8.16</v>
      </c>
      <c r="P25" s="55">
        <v>8.1199999999999992</v>
      </c>
      <c r="Q25" s="55">
        <f t="shared" si="0"/>
        <v>-4.0000000000000924E-2</v>
      </c>
      <c r="R25" s="55"/>
      <c r="S25" s="55" t="str">
        <f t="shared" si="1"/>
        <v/>
      </c>
      <c r="T25" s="12"/>
      <c r="U25" s="12"/>
      <c r="V25" s="12"/>
      <c r="W25" s="12"/>
      <c r="X25" s="53"/>
      <c r="Y25" s="53"/>
      <c r="Z25" s="54">
        <v>1</v>
      </c>
      <c r="AA25" s="54"/>
      <c r="AB25" s="56"/>
      <c r="AC25" s="53"/>
      <c r="AD25" s="59"/>
    </row>
    <row r="26" spans="1:30" s="57" customFormat="1" ht="20.25">
      <c r="A26" s="53">
        <v>8</v>
      </c>
      <c r="B26" s="53">
        <v>3</v>
      </c>
      <c r="C26" s="53">
        <v>9</v>
      </c>
      <c r="D26" s="53">
        <v>1</v>
      </c>
      <c r="E26" s="58"/>
      <c r="F26" s="58"/>
      <c r="G26" s="53" t="s">
        <v>28</v>
      </c>
      <c r="H26" s="53">
        <v>2</v>
      </c>
      <c r="I26" s="53">
        <v>8951</v>
      </c>
      <c r="J26" s="53">
        <v>8</v>
      </c>
      <c r="K26" s="53" t="s">
        <v>31</v>
      </c>
      <c r="L26" s="53">
        <v>1</v>
      </c>
      <c r="M26" s="53"/>
      <c r="N26" s="53"/>
      <c r="O26" s="55">
        <v>8.07</v>
      </c>
      <c r="P26" s="55">
        <v>8.0299999999999994</v>
      </c>
      <c r="Q26" s="55">
        <f t="shared" si="0"/>
        <v>-4.0000000000000924E-2</v>
      </c>
      <c r="R26" s="55"/>
      <c r="S26" s="55" t="str">
        <f t="shared" si="1"/>
        <v/>
      </c>
      <c r="T26" s="12"/>
      <c r="U26" s="12"/>
      <c r="V26" s="12"/>
      <c r="W26" s="12"/>
      <c r="X26" s="53"/>
      <c r="Y26" s="53"/>
      <c r="Z26" s="54">
        <v>1</v>
      </c>
      <c r="AA26" s="54"/>
      <c r="AB26" s="56"/>
      <c r="AC26" s="53"/>
      <c r="AD26" s="59"/>
    </row>
    <row r="27" spans="1:30" s="57" customFormat="1" ht="20.25">
      <c r="A27" s="53">
        <v>9</v>
      </c>
      <c r="B27" s="53">
        <v>3</v>
      </c>
      <c r="C27" s="53">
        <v>9</v>
      </c>
      <c r="D27" s="53">
        <v>1</v>
      </c>
      <c r="E27" s="58"/>
      <c r="F27" s="58"/>
      <c r="G27" s="53" t="s">
        <v>28</v>
      </c>
      <c r="H27" s="53">
        <v>2</v>
      </c>
      <c r="I27" s="53">
        <v>8952</v>
      </c>
      <c r="J27" s="53">
        <v>2</v>
      </c>
      <c r="K27" s="53" t="s">
        <v>31</v>
      </c>
      <c r="L27" s="53">
        <v>1</v>
      </c>
      <c r="M27" s="53"/>
      <c r="N27" s="53"/>
      <c r="O27" s="55">
        <v>8.26</v>
      </c>
      <c r="P27" s="55">
        <v>8.2200000000000006</v>
      </c>
      <c r="Q27" s="55">
        <f t="shared" si="0"/>
        <v>-3.9999999999999147E-2</v>
      </c>
      <c r="R27" s="55"/>
      <c r="S27" s="55" t="str">
        <f t="shared" si="1"/>
        <v/>
      </c>
      <c r="T27" s="12"/>
      <c r="U27" s="12"/>
      <c r="V27" s="12"/>
      <c r="W27" s="12"/>
      <c r="X27" s="53"/>
      <c r="Y27" s="53"/>
      <c r="Z27" s="54">
        <v>1</v>
      </c>
      <c r="AA27" s="54" t="s">
        <v>30</v>
      </c>
      <c r="AB27" s="56"/>
      <c r="AC27" s="53"/>
      <c r="AD27" s="59"/>
    </row>
    <row r="28" spans="1:30" s="57" customFormat="1" ht="20.25">
      <c r="A28" s="53">
        <v>10</v>
      </c>
      <c r="B28" s="53">
        <v>3</v>
      </c>
      <c r="C28" s="53">
        <v>9</v>
      </c>
      <c r="D28" s="53">
        <v>1</v>
      </c>
      <c r="E28" s="58"/>
      <c r="F28" s="58"/>
      <c r="G28" s="53" t="s">
        <v>28</v>
      </c>
      <c r="H28" s="53">
        <v>2</v>
      </c>
      <c r="I28" s="53">
        <v>8952</v>
      </c>
      <c r="J28" s="53">
        <v>2</v>
      </c>
      <c r="K28" s="53" t="s">
        <v>29</v>
      </c>
      <c r="L28" s="53">
        <v>1</v>
      </c>
      <c r="M28" s="53"/>
      <c r="N28" s="53"/>
      <c r="O28" s="55">
        <v>8.18</v>
      </c>
      <c r="P28" s="55">
        <v>8.14</v>
      </c>
      <c r="Q28" s="55">
        <f t="shared" si="0"/>
        <v>-3.9999999999999147E-2</v>
      </c>
      <c r="R28" s="55"/>
      <c r="S28" s="55" t="str">
        <f t="shared" si="1"/>
        <v/>
      </c>
      <c r="T28" s="12"/>
      <c r="U28" s="12"/>
      <c r="V28" s="12"/>
      <c r="W28" s="12"/>
      <c r="X28" s="53"/>
      <c r="Y28" s="53"/>
      <c r="Z28" s="54">
        <v>1</v>
      </c>
      <c r="AA28" s="54"/>
      <c r="AB28" s="56"/>
      <c r="AC28" s="53"/>
      <c r="AD28" s="59"/>
    </row>
    <row r="29" spans="1:30" s="57" customFormat="1" ht="20.25">
      <c r="A29" s="53">
        <v>11</v>
      </c>
      <c r="B29" s="53">
        <v>3</v>
      </c>
      <c r="C29" s="53">
        <v>9</v>
      </c>
      <c r="D29" s="53">
        <v>1</v>
      </c>
      <c r="E29" s="58"/>
      <c r="F29" s="58"/>
      <c r="G29" s="53" t="s">
        <v>32</v>
      </c>
      <c r="H29" s="53">
        <v>1</v>
      </c>
      <c r="I29" s="53">
        <v>8953</v>
      </c>
      <c r="J29" s="53">
        <v>4</v>
      </c>
      <c r="K29" s="53" t="s">
        <v>29</v>
      </c>
      <c r="L29" s="53">
        <v>1</v>
      </c>
      <c r="M29" s="53"/>
      <c r="N29" s="53"/>
      <c r="O29" s="55">
        <v>12.54</v>
      </c>
      <c r="P29" s="55">
        <v>12.5</v>
      </c>
      <c r="Q29" s="55">
        <f t="shared" si="0"/>
        <v>-3.9999999999999147E-2</v>
      </c>
      <c r="R29" s="55"/>
      <c r="S29" s="55" t="str">
        <f t="shared" si="1"/>
        <v/>
      </c>
      <c r="T29" s="12"/>
      <c r="U29" s="12"/>
      <c r="V29" s="12"/>
      <c r="W29" s="12"/>
      <c r="X29" s="53"/>
      <c r="Y29" s="53"/>
      <c r="Z29" s="54" t="s">
        <v>30</v>
      </c>
      <c r="AA29" s="54">
        <v>1</v>
      </c>
      <c r="AB29" s="56"/>
      <c r="AC29" s="53"/>
      <c r="AD29" s="60"/>
    </row>
    <row r="30" spans="1:30" s="57" customFormat="1" ht="20.25">
      <c r="A30" s="53">
        <v>12</v>
      </c>
      <c r="B30" s="53">
        <v>3</v>
      </c>
      <c r="C30" s="53">
        <v>9</v>
      </c>
      <c r="D30" s="53">
        <v>1</v>
      </c>
      <c r="E30" s="58"/>
      <c r="F30" s="58"/>
      <c r="G30" s="53" t="s">
        <v>32</v>
      </c>
      <c r="H30" s="53">
        <v>1</v>
      </c>
      <c r="I30" s="53">
        <v>8953</v>
      </c>
      <c r="J30" s="53">
        <v>4</v>
      </c>
      <c r="K30" s="53" t="s">
        <v>31</v>
      </c>
      <c r="L30" s="53">
        <v>1</v>
      </c>
      <c r="M30" s="53"/>
      <c r="N30" s="53"/>
      <c r="O30" s="55">
        <v>12.54</v>
      </c>
      <c r="P30" s="55">
        <v>12.5</v>
      </c>
      <c r="Q30" s="55">
        <f t="shared" si="0"/>
        <v>-3.9999999999999147E-2</v>
      </c>
      <c r="R30" s="55"/>
      <c r="S30" s="55" t="str">
        <f t="shared" si="1"/>
        <v/>
      </c>
      <c r="T30" s="12"/>
      <c r="U30" s="12"/>
      <c r="V30" s="12"/>
      <c r="W30" s="12"/>
      <c r="X30" s="53"/>
      <c r="Y30" s="53"/>
      <c r="Z30" s="54" t="s">
        <v>30</v>
      </c>
      <c r="AA30" s="54">
        <v>1</v>
      </c>
      <c r="AB30" s="56"/>
      <c r="AC30" s="53"/>
      <c r="AD30" s="59"/>
    </row>
    <row r="31" spans="1:30" s="57" customFormat="1" ht="20.25">
      <c r="A31" s="53">
        <v>13</v>
      </c>
      <c r="B31" s="53">
        <v>3</v>
      </c>
      <c r="C31" s="53">
        <v>9</v>
      </c>
      <c r="D31" s="53">
        <v>1</v>
      </c>
      <c r="E31" s="58"/>
      <c r="F31" s="58"/>
      <c r="G31" s="53" t="s">
        <v>32</v>
      </c>
      <c r="H31" s="53">
        <v>2</v>
      </c>
      <c r="I31" s="53">
        <v>8953</v>
      </c>
      <c r="J31" s="53">
        <v>4</v>
      </c>
      <c r="K31" s="53" t="s">
        <v>31</v>
      </c>
      <c r="L31" s="53">
        <v>1</v>
      </c>
      <c r="M31" s="53"/>
      <c r="N31" s="53"/>
      <c r="O31" s="55">
        <v>13.01</v>
      </c>
      <c r="P31" s="55">
        <v>12.97</v>
      </c>
      <c r="Q31" s="55">
        <f t="shared" si="0"/>
        <v>-3.9999999999999147E-2</v>
      </c>
      <c r="R31" s="55"/>
      <c r="S31" s="55" t="str">
        <f t="shared" si="1"/>
        <v/>
      </c>
      <c r="T31" s="12"/>
      <c r="U31" s="12"/>
      <c r="V31" s="12"/>
      <c r="W31" s="12"/>
      <c r="X31" s="53"/>
      <c r="Y31" s="53"/>
      <c r="Z31" s="54" t="s">
        <v>30</v>
      </c>
      <c r="AA31" s="54">
        <v>1</v>
      </c>
      <c r="AB31" s="56"/>
      <c r="AC31" s="53"/>
      <c r="AD31" s="59"/>
    </row>
    <row r="32" spans="1:30" s="57" customFormat="1" ht="20.25">
      <c r="A32" s="53">
        <v>14</v>
      </c>
      <c r="B32" s="53">
        <v>3</v>
      </c>
      <c r="C32" s="53">
        <v>9</v>
      </c>
      <c r="D32" s="53">
        <v>1</v>
      </c>
      <c r="E32" s="58"/>
      <c r="F32" s="58"/>
      <c r="G32" s="53" t="s">
        <v>32</v>
      </c>
      <c r="H32" s="53">
        <v>2</v>
      </c>
      <c r="I32" s="53">
        <v>8953</v>
      </c>
      <c r="J32" s="53">
        <v>4</v>
      </c>
      <c r="K32" s="53" t="s">
        <v>29</v>
      </c>
      <c r="L32" s="53">
        <v>1</v>
      </c>
      <c r="M32" s="53"/>
      <c r="N32" s="53"/>
      <c r="O32" s="55">
        <v>12.54</v>
      </c>
      <c r="P32" s="55">
        <v>12.5</v>
      </c>
      <c r="Q32" s="55">
        <f t="shared" si="0"/>
        <v>-3.9999999999999147E-2</v>
      </c>
      <c r="R32" s="55"/>
      <c r="S32" s="55" t="str">
        <f t="shared" si="1"/>
        <v/>
      </c>
      <c r="T32" s="12"/>
      <c r="U32" s="12"/>
      <c r="V32" s="12"/>
      <c r="W32" s="12"/>
      <c r="X32" s="53"/>
      <c r="Y32" s="53"/>
      <c r="Z32" s="54"/>
      <c r="AA32" s="54">
        <v>1</v>
      </c>
      <c r="AB32" s="56"/>
      <c r="AC32" s="53"/>
      <c r="AD32" s="59"/>
    </row>
    <row r="33" spans="1:30" s="57" customFormat="1" ht="20.25">
      <c r="A33" s="53">
        <v>15</v>
      </c>
      <c r="B33" s="53">
        <v>3</v>
      </c>
      <c r="C33" s="53">
        <v>9</v>
      </c>
      <c r="D33" s="53">
        <v>1</v>
      </c>
      <c r="E33" s="58"/>
      <c r="F33" s="58"/>
      <c r="G33" s="53" t="s">
        <v>32</v>
      </c>
      <c r="H33" s="53">
        <v>2</v>
      </c>
      <c r="I33" s="53">
        <v>8953</v>
      </c>
      <c r="J33" s="53">
        <v>6</v>
      </c>
      <c r="K33" s="53" t="s">
        <v>31</v>
      </c>
      <c r="L33" s="53">
        <v>1</v>
      </c>
      <c r="M33" s="53"/>
      <c r="N33" s="53"/>
      <c r="O33" s="55">
        <v>12.55</v>
      </c>
      <c r="P33" s="55">
        <v>12.5</v>
      </c>
      <c r="Q33" s="55">
        <f t="shared" si="0"/>
        <v>-5.0000000000000711E-2</v>
      </c>
      <c r="R33" s="55"/>
      <c r="S33" s="55" t="str">
        <f t="shared" si="1"/>
        <v/>
      </c>
      <c r="T33" s="12"/>
      <c r="U33" s="12"/>
      <c r="V33" s="12"/>
      <c r="W33" s="12"/>
      <c r="X33" s="53"/>
      <c r="Y33" s="53"/>
      <c r="Z33" s="54" t="s">
        <v>30</v>
      </c>
      <c r="AA33" s="54">
        <v>1</v>
      </c>
      <c r="AB33" s="56"/>
      <c r="AC33" s="53"/>
      <c r="AD33" s="59"/>
    </row>
    <row r="34" spans="1:30" s="57" customFormat="1" ht="20.25">
      <c r="A34" s="53">
        <v>16</v>
      </c>
      <c r="B34" s="53">
        <v>3</v>
      </c>
      <c r="C34" s="53">
        <v>9</v>
      </c>
      <c r="D34" s="53">
        <v>1</v>
      </c>
      <c r="E34" s="58"/>
      <c r="F34" s="58"/>
      <c r="G34" s="53" t="s">
        <v>32</v>
      </c>
      <c r="H34" s="53">
        <v>2</v>
      </c>
      <c r="I34" s="53">
        <v>8953</v>
      </c>
      <c r="J34" s="53">
        <v>6</v>
      </c>
      <c r="K34" s="53" t="s">
        <v>29</v>
      </c>
      <c r="L34" s="53">
        <v>1</v>
      </c>
      <c r="M34" s="53"/>
      <c r="N34" s="53"/>
      <c r="O34" s="55">
        <v>12.58</v>
      </c>
      <c r="P34" s="55">
        <v>12.55</v>
      </c>
      <c r="Q34" s="55">
        <f t="shared" si="0"/>
        <v>-2.9999999999999361E-2</v>
      </c>
      <c r="R34" s="55"/>
      <c r="S34" s="55" t="str">
        <f t="shared" si="1"/>
        <v/>
      </c>
      <c r="T34" s="12"/>
      <c r="U34" s="12"/>
      <c r="V34" s="12"/>
      <c r="W34" s="12"/>
      <c r="X34" s="53"/>
      <c r="Y34" s="53"/>
      <c r="Z34" s="54" t="s">
        <v>30</v>
      </c>
      <c r="AA34" s="54">
        <v>1</v>
      </c>
      <c r="AB34" s="56"/>
      <c r="AC34" s="53"/>
      <c r="AD34" s="59"/>
    </row>
    <row r="35" spans="1:30" s="57" customFormat="1" ht="20.25">
      <c r="A35" s="53">
        <v>17</v>
      </c>
      <c r="B35" s="53">
        <v>3</v>
      </c>
      <c r="C35" s="53">
        <v>9</v>
      </c>
      <c r="D35" s="53">
        <v>1</v>
      </c>
      <c r="E35" s="58"/>
      <c r="F35" s="58"/>
      <c r="G35" s="53" t="s">
        <v>32</v>
      </c>
      <c r="H35" s="53">
        <v>2</v>
      </c>
      <c r="I35" s="53">
        <v>8953</v>
      </c>
      <c r="J35" s="53">
        <v>7</v>
      </c>
      <c r="K35" s="53" t="s">
        <v>31</v>
      </c>
      <c r="L35" s="53">
        <v>1</v>
      </c>
      <c r="M35" s="53"/>
      <c r="N35" s="53"/>
      <c r="O35" s="55">
        <v>12.54</v>
      </c>
      <c r="P35" s="55">
        <v>12.5</v>
      </c>
      <c r="Q35" s="55">
        <f t="shared" si="0"/>
        <v>-3.9999999999999147E-2</v>
      </c>
      <c r="R35" s="55"/>
      <c r="S35" s="55" t="str">
        <f t="shared" si="1"/>
        <v/>
      </c>
      <c r="T35" s="12"/>
      <c r="U35" s="12"/>
      <c r="V35" s="12"/>
      <c r="W35" s="12"/>
      <c r="X35" s="53"/>
      <c r="Y35" s="53"/>
      <c r="Z35" s="54"/>
      <c r="AA35" s="54">
        <v>1</v>
      </c>
      <c r="AB35" s="56"/>
      <c r="AC35" s="53"/>
      <c r="AD35" s="59"/>
    </row>
    <row r="36" spans="1:30" s="57" customFormat="1" ht="20.25">
      <c r="A36" s="53">
        <v>18</v>
      </c>
      <c r="B36" s="53">
        <v>3</v>
      </c>
      <c r="C36" s="53">
        <v>9</v>
      </c>
      <c r="D36" s="53">
        <v>1</v>
      </c>
      <c r="E36" s="58"/>
      <c r="F36" s="58"/>
      <c r="G36" s="53" t="s">
        <v>32</v>
      </c>
      <c r="H36" s="53">
        <v>2</v>
      </c>
      <c r="I36" s="53">
        <v>8953</v>
      </c>
      <c r="J36" s="53">
        <v>7</v>
      </c>
      <c r="K36" s="53" t="s">
        <v>29</v>
      </c>
      <c r="L36" s="53">
        <v>1</v>
      </c>
      <c r="M36" s="53"/>
      <c r="N36" s="53"/>
      <c r="O36" s="55">
        <v>12.56</v>
      </c>
      <c r="P36" s="55">
        <v>12.5</v>
      </c>
      <c r="Q36" s="55">
        <f t="shared" si="0"/>
        <v>-6.0000000000000497E-2</v>
      </c>
      <c r="R36" s="55"/>
      <c r="S36" s="55" t="str">
        <f t="shared" si="1"/>
        <v/>
      </c>
      <c r="T36" s="12"/>
      <c r="U36" s="12"/>
      <c r="V36" s="12"/>
      <c r="W36" s="12"/>
      <c r="X36" s="53"/>
      <c r="Y36" s="53"/>
      <c r="Z36" s="54"/>
      <c r="AA36" s="54">
        <v>1</v>
      </c>
      <c r="AB36" s="56"/>
      <c r="AC36" s="53"/>
      <c r="AD36" s="59"/>
    </row>
    <row r="37" spans="1:30" s="57" customFormat="1" ht="20.25">
      <c r="A37" s="53">
        <v>19</v>
      </c>
      <c r="B37" s="53">
        <v>3</v>
      </c>
      <c r="C37" s="53">
        <v>9</v>
      </c>
      <c r="D37" s="53">
        <v>1</v>
      </c>
      <c r="E37" s="58"/>
      <c r="F37" s="58"/>
      <c r="G37" s="53" t="s">
        <v>32</v>
      </c>
      <c r="H37" s="53">
        <v>2</v>
      </c>
      <c r="I37" s="53">
        <v>8954</v>
      </c>
      <c r="J37" s="53">
        <v>8</v>
      </c>
      <c r="K37" s="53" t="s">
        <v>31</v>
      </c>
      <c r="L37" s="53">
        <v>1</v>
      </c>
      <c r="M37" s="53"/>
      <c r="N37" s="53"/>
      <c r="O37" s="55">
        <v>12.54</v>
      </c>
      <c r="P37" s="55">
        <v>12.5</v>
      </c>
      <c r="Q37" s="55">
        <f t="shared" si="0"/>
        <v>-3.9999999999999147E-2</v>
      </c>
      <c r="R37" s="55"/>
      <c r="S37" s="55" t="str">
        <f t="shared" si="1"/>
        <v/>
      </c>
      <c r="T37" s="12"/>
      <c r="U37" s="12"/>
      <c r="V37" s="12"/>
      <c r="W37" s="12"/>
      <c r="X37" s="53"/>
      <c r="Y37" s="53"/>
      <c r="Z37" s="54" t="s">
        <v>30</v>
      </c>
      <c r="AA37" s="54">
        <v>1</v>
      </c>
      <c r="AB37" s="56"/>
      <c r="AC37" s="53"/>
      <c r="AD37" s="59"/>
    </row>
    <row r="38" spans="1:30" s="57" customFormat="1" ht="20.25">
      <c r="A38" s="53">
        <v>20</v>
      </c>
      <c r="B38" s="53">
        <v>3</v>
      </c>
      <c r="C38" s="53">
        <v>9</v>
      </c>
      <c r="D38" s="53">
        <v>1</v>
      </c>
      <c r="E38" s="58"/>
      <c r="F38" s="58"/>
      <c r="G38" s="53" t="s">
        <v>32</v>
      </c>
      <c r="H38" s="53">
        <v>2</v>
      </c>
      <c r="I38" s="53">
        <v>8954</v>
      </c>
      <c r="J38" s="53">
        <v>8</v>
      </c>
      <c r="K38" s="53" t="s">
        <v>29</v>
      </c>
      <c r="L38" s="53">
        <v>1</v>
      </c>
      <c r="M38" s="53"/>
      <c r="N38" s="53"/>
      <c r="O38" s="55">
        <v>12.54</v>
      </c>
      <c r="P38" s="55">
        <v>12.5</v>
      </c>
      <c r="Q38" s="55">
        <f t="shared" si="0"/>
        <v>-3.9999999999999147E-2</v>
      </c>
      <c r="R38" s="55"/>
      <c r="S38" s="55" t="str">
        <f t="shared" si="1"/>
        <v/>
      </c>
      <c r="T38" s="12"/>
      <c r="U38" s="12"/>
      <c r="V38" s="12"/>
      <c r="W38" s="12"/>
      <c r="X38" s="53"/>
      <c r="Y38" s="53"/>
      <c r="Z38" s="54" t="s">
        <v>30</v>
      </c>
      <c r="AA38" s="54">
        <v>1</v>
      </c>
      <c r="AB38" s="56"/>
      <c r="AC38" s="53"/>
      <c r="AD38" s="59"/>
    </row>
    <row r="39" spans="1:30" s="57" customFormat="1" ht="20.25">
      <c r="A39" s="53">
        <v>21</v>
      </c>
      <c r="B39" s="53">
        <v>3</v>
      </c>
      <c r="C39" s="53">
        <v>9</v>
      </c>
      <c r="D39" s="53">
        <v>1</v>
      </c>
      <c r="E39" s="58"/>
      <c r="F39" s="58"/>
      <c r="G39" s="53" t="s">
        <v>32</v>
      </c>
      <c r="H39" s="53">
        <v>2</v>
      </c>
      <c r="I39" s="53">
        <v>8954</v>
      </c>
      <c r="J39" s="53">
        <v>9</v>
      </c>
      <c r="K39" s="53" t="s">
        <v>29</v>
      </c>
      <c r="L39" s="53">
        <v>1</v>
      </c>
      <c r="M39" s="53"/>
      <c r="N39" s="53"/>
      <c r="O39" s="55">
        <v>12.54</v>
      </c>
      <c r="P39" s="55">
        <v>12.5</v>
      </c>
      <c r="Q39" s="55">
        <f t="shared" si="0"/>
        <v>-3.9999999999999147E-2</v>
      </c>
      <c r="R39" s="55"/>
      <c r="S39" s="55" t="str">
        <f t="shared" si="1"/>
        <v/>
      </c>
      <c r="T39" s="12"/>
      <c r="U39" s="12"/>
      <c r="V39" s="12"/>
      <c r="W39" s="12"/>
      <c r="X39" s="53"/>
      <c r="Y39" s="53"/>
      <c r="Z39" s="54"/>
      <c r="AA39" s="54">
        <v>1</v>
      </c>
      <c r="AB39" s="56"/>
      <c r="AC39" s="53"/>
      <c r="AD39" s="59"/>
    </row>
    <row r="40" spans="1:30" s="57" customFormat="1" ht="20.25">
      <c r="A40" s="53">
        <v>22</v>
      </c>
      <c r="B40" s="53">
        <v>3</v>
      </c>
      <c r="C40" s="53">
        <v>9</v>
      </c>
      <c r="D40" s="53">
        <v>1</v>
      </c>
      <c r="E40" s="58"/>
      <c r="F40" s="58"/>
      <c r="G40" s="53" t="s">
        <v>32</v>
      </c>
      <c r="H40" s="53">
        <v>2</v>
      </c>
      <c r="I40" s="53">
        <v>8954</v>
      </c>
      <c r="J40" s="53">
        <v>10</v>
      </c>
      <c r="K40" s="53" t="s">
        <v>31</v>
      </c>
      <c r="L40" s="53">
        <v>1</v>
      </c>
      <c r="M40" s="53"/>
      <c r="N40" s="53"/>
      <c r="O40" s="55">
        <v>12.54</v>
      </c>
      <c r="P40" s="55">
        <v>12.5</v>
      </c>
      <c r="Q40" s="55">
        <f t="shared" si="0"/>
        <v>-3.9999999999999147E-2</v>
      </c>
      <c r="R40" s="55"/>
      <c r="S40" s="55" t="str">
        <f t="shared" si="1"/>
        <v/>
      </c>
      <c r="T40" s="12"/>
      <c r="U40" s="12"/>
      <c r="V40" s="12"/>
      <c r="W40" s="12"/>
      <c r="X40" s="53"/>
      <c r="Y40" s="53"/>
      <c r="Z40" s="54" t="s">
        <v>30</v>
      </c>
      <c r="AA40" s="54">
        <v>1</v>
      </c>
      <c r="AB40" s="56"/>
      <c r="AC40" s="53"/>
      <c r="AD40" s="59"/>
    </row>
    <row r="41" spans="1:30" s="57" customFormat="1" ht="20.25">
      <c r="A41" s="53">
        <v>23</v>
      </c>
      <c r="B41" s="53">
        <v>3</v>
      </c>
      <c r="C41" s="53">
        <v>9</v>
      </c>
      <c r="D41" s="53">
        <v>1</v>
      </c>
      <c r="E41" s="58"/>
      <c r="F41" s="58"/>
      <c r="G41" s="53" t="s">
        <v>32</v>
      </c>
      <c r="H41" s="53">
        <v>2</v>
      </c>
      <c r="I41" s="53">
        <v>8954</v>
      </c>
      <c r="J41" s="53">
        <v>10</v>
      </c>
      <c r="K41" s="53" t="s">
        <v>29</v>
      </c>
      <c r="L41" s="53">
        <v>1</v>
      </c>
      <c r="M41" s="53"/>
      <c r="N41" s="53"/>
      <c r="O41" s="55">
        <v>12.54</v>
      </c>
      <c r="P41" s="55">
        <v>12.5</v>
      </c>
      <c r="Q41" s="55">
        <f t="shared" si="0"/>
        <v>-3.9999999999999147E-2</v>
      </c>
      <c r="R41" s="55"/>
      <c r="S41" s="55" t="str">
        <f t="shared" si="1"/>
        <v/>
      </c>
      <c r="T41" s="12"/>
      <c r="U41" s="12"/>
      <c r="V41" s="12"/>
      <c r="W41" s="12"/>
      <c r="X41" s="53"/>
      <c r="Y41" s="53"/>
      <c r="Z41" s="54" t="s">
        <v>30</v>
      </c>
      <c r="AA41" s="54">
        <v>1</v>
      </c>
      <c r="AB41" s="56"/>
      <c r="AC41" s="53"/>
      <c r="AD41" s="59"/>
    </row>
    <row r="42" spans="1:30" s="57" customFormat="1" ht="20.25">
      <c r="A42" s="53">
        <v>24</v>
      </c>
      <c r="B42" s="53">
        <v>3</v>
      </c>
      <c r="C42" s="53">
        <v>9</v>
      </c>
      <c r="D42" s="53">
        <v>1</v>
      </c>
      <c r="E42" s="58"/>
      <c r="F42" s="58"/>
      <c r="G42" s="53" t="s">
        <v>33</v>
      </c>
      <c r="H42" s="53">
        <v>1</v>
      </c>
      <c r="I42" s="53">
        <v>8956</v>
      </c>
      <c r="J42" s="53">
        <v>2</v>
      </c>
      <c r="K42" s="53" t="s">
        <v>31</v>
      </c>
      <c r="L42" s="53">
        <v>1</v>
      </c>
      <c r="M42" s="53"/>
      <c r="N42" s="53"/>
      <c r="O42" s="55">
        <v>8.18</v>
      </c>
      <c r="P42" s="55">
        <v>8.14</v>
      </c>
      <c r="Q42" s="55">
        <f t="shared" si="0"/>
        <v>-3.9999999999999147E-2</v>
      </c>
      <c r="R42" s="55"/>
      <c r="S42" s="55" t="str">
        <f t="shared" si="1"/>
        <v/>
      </c>
      <c r="T42" s="12"/>
      <c r="U42" s="12"/>
      <c r="V42" s="12"/>
      <c r="W42" s="12"/>
      <c r="X42" s="53"/>
      <c r="Y42" s="53"/>
      <c r="Z42" s="54">
        <v>1</v>
      </c>
      <c r="AA42" s="54"/>
      <c r="AB42" s="56"/>
      <c r="AC42" s="53"/>
      <c r="AD42" s="59"/>
    </row>
    <row r="43" spans="1:30" s="57" customFormat="1" ht="20.25">
      <c r="A43" s="53">
        <v>25</v>
      </c>
      <c r="B43" s="53">
        <v>3</v>
      </c>
      <c r="C43" s="53">
        <v>9</v>
      </c>
      <c r="D43" s="53">
        <v>1</v>
      </c>
      <c r="E43" s="58"/>
      <c r="F43" s="58"/>
      <c r="G43" s="53" t="s">
        <v>33</v>
      </c>
      <c r="H43" s="53">
        <v>1</v>
      </c>
      <c r="I43" s="53">
        <v>8956</v>
      </c>
      <c r="J43" s="53">
        <v>8</v>
      </c>
      <c r="K43" s="53" t="s">
        <v>29</v>
      </c>
      <c r="L43" s="53">
        <v>1</v>
      </c>
      <c r="M43" s="53"/>
      <c r="N43" s="53"/>
      <c r="O43" s="55">
        <v>8.14</v>
      </c>
      <c r="P43" s="55">
        <v>8.1</v>
      </c>
      <c r="Q43" s="55">
        <f t="shared" si="0"/>
        <v>-4.0000000000000924E-2</v>
      </c>
      <c r="R43" s="55"/>
      <c r="S43" s="55" t="str">
        <f t="shared" si="1"/>
        <v/>
      </c>
      <c r="T43" s="12"/>
      <c r="U43" s="12"/>
      <c r="V43" s="12"/>
      <c r="W43" s="12"/>
      <c r="X43" s="53"/>
      <c r="Y43" s="53"/>
      <c r="Z43" s="54">
        <v>1</v>
      </c>
      <c r="AA43" s="54"/>
      <c r="AB43" s="56"/>
      <c r="AC43" s="53"/>
      <c r="AD43" s="59"/>
    </row>
    <row r="44" spans="1:30" s="57" customFormat="1" ht="20.25">
      <c r="A44" s="53">
        <v>26</v>
      </c>
      <c r="B44" s="53">
        <v>3</v>
      </c>
      <c r="C44" s="53">
        <v>9</v>
      </c>
      <c r="D44" s="53">
        <v>1</v>
      </c>
      <c r="E44" s="58"/>
      <c r="F44" s="58"/>
      <c r="G44" s="53" t="s">
        <v>33</v>
      </c>
      <c r="H44" s="53">
        <v>1</v>
      </c>
      <c r="I44" s="53">
        <v>8959</v>
      </c>
      <c r="J44" s="53">
        <v>3</v>
      </c>
      <c r="K44" s="53" t="s">
        <v>29</v>
      </c>
      <c r="L44" s="53">
        <v>1</v>
      </c>
      <c r="M44" s="53"/>
      <c r="N44" s="53"/>
      <c r="O44" s="55">
        <v>8.27</v>
      </c>
      <c r="P44" s="55">
        <v>8.24</v>
      </c>
      <c r="Q44" s="55">
        <f t="shared" si="0"/>
        <v>-2.9999999999999361E-2</v>
      </c>
      <c r="R44" s="55"/>
      <c r="S44" s="55" t="str">
        <f t="shared" si="1"/>
        <v/>
      </c>
      <c r="T44" s="12"/>
      <c r="U44" s="12"/>
      <c r="V44" s="12"/>
      <c r="W44" s="12"/>
      <c r="X44" s="53"/>
      <c r="Y44" s="53"/>
      <c r="Z44" s="54">
        <v>1</v>
      </c>
      <c r="AA44" s="54"/>
      <c r="AB44" s="56"/>
      <c r="AC44" s="53"/>
      <c r="AD44" s="59"/>
    </row>
    <row r="45" spans="1:30" s="57" customFormat="1" ht="20.25">
      <c r="A45" s="53">
        <v>27</v>
      </c>
      <c r="B45" s="53">
        <v>3</v>
      </c>
      <c r="C45" s="53">
        <v>9</v>
      </c>
      <c r="D45" s="53">
        <v>1</v>
      </c>
      <c r="E45" s="58"/>
      <c r="F45" s="58"/>
      <c r="G45" s="53" t="s">
        <v>33</v>
      </c>
      <c r="H45" s="53">
        <v>1</v>
      </c>
      <c r="I45" s="53">
        <v>8961</v>
      </c>
      <c r="J45" s="53">
        <v>6</v>
      </c>
      <c r="K45" s="53" t="s">
        <v>31</v>
      </c>
      <c r="L45" s="53">
        <v>1</v>
      </c>
      <c r="M45" s="53"/>
      <c r="N45" s="53"/>
      <c r="O45" s="55">
        <v>8.73</v>
      </c>
      <c r="P45" s="55">
        <v>8.69</v>
      </c>
      <c r="Q45" s="55">
        <f t="shared" si="0"/>
        <v>-4.0000000000000924E-2</v>
      </c>
      <c r="R45" s="55"/>
      <c r="S45" s="55" t="str">
        <f t="shared" si="1"/>
        <v/>
      </c>
      <c r="T45" s="12"/>
      <c r="U45" s="12"/>
      <c r="V45" s="12"/>
      <c r="W45" s="12"/>
      <c r="X45" s="53"/>
      <c r="Y45" s="53"/>
      <c r="Z45" s="54">
        <v>1</v>
      </c>
      <c r="AA45" s="54"/>
      <c r="AB45" s="56"/>
      <c r="AC45" s="53"/>
      <c r="AD45" s="59"/>
    </row>
    <row r="46" spans="1:30" s="57" customFormat="1" ht="20.25">
      <c r="A46" s="53">
        <v>28</v>
      </c>
      <c r="B46" s="53">
        <v>3</v>
      </c>
      <c r="C46" s="53">
        <v>9</v>
      </c>
      <c r="D46" s="53">
        <v>2</v>
      </c>
      <c r="E46" s="58"/>
      <c r="F46" s="58"/>
      <c r="G46" s="53" t="s">
        <v>33</v>
      </c>
      <c r="H46" s="53">
        <v>1</v>
      </c>
      <c r="I46" s="53">
        <v>8966</v>
      </c>
      <c r="J46" s="53">
        <v>10</v>
      </c>
      <c r="K46" s="53" t="s">
        <v>29</v>
      </c>
      <c r="L46" s="53">
        <v>1</v>
      </c>
      <c r="M46" s="53">
        <v>1</v>
      </c>
      <c r="N46" s="53"/>
      <c r="O46" s="55">
        <v>8.39</v>
      </c>
      <c r="P46" s="55">
        <v>8.34</v>
      </c>
      <c r="Q46" s="55">
        <f t="shared" ref="Q46:Q81" si="2">P46-O46</f>
        <v>-5.0000000000000711E-2</v>
      </c>
      <c r="R46" s="55"/>
      <c r="S46" s="55" t="str">
        <f t="shared" si="1"/>
        <v/>
      </c>
      <c r="T46" s="12"/>
      <c r="U46" s="12"/>
      <c r="V46" s="12"/>
      <c r="W46" s="12"/>
      <c r="X46" s="53"/>
      <c r="Y46" s="53"/>
      <c r="Z46" s="54">
        <v>1</v>
      </c>
      <c r="AA46" s="54"/>
      <c r="AB46" s="56"/>
      <c r="AC46" s="53"/>
      <c r="AD46" s="59"/>
    </row>
    <row r="47" spans="1:30" s="57" customFormat="1" ht="20.25">
      <c r="A47" s="53">
        <v>29</v>
      </c>
      <c r="B47" s="53">
        <v>3</v>
      </c>
      <c r="C47" s="53">
        <v>9</v>
      </c>
      <c r="D47" s="53">
        <v>2</v>
      </c>
      <c r="E47" s="58"/>
      <c r="F47" s="58"/>
      <c r="G47" s="53" t="s">
        <v>34</v>
      </c>
      <c r="H47" s="53">
        <v>1</v>
      </c>
      <c r="I47" s="53">
        <v>8974</v>
      </c>
      <c r="J47" s="53">
        <v>7</v>
      </c>
      <c r="K47" s="53" t="s">
        <v>29</v>
      </c>
      <c r="L47" s="53">
        <v>1</v>
      </c>
      <c r="M47" s="53"/>
      <c r="N47" s="53"/>
      <c r="O47" s="55">
        <v>12.54</v>
      </c>
      <c r="P47" s="55">
        <v>12.5</v>
      </c>
      <c r="Q47" s="55">
        <f t="shared" si="2"/>
        <v>-3.9999999999999147E-2</v>
      </c>
      <c r="R47" s="55"/>
      <c r="S47" s="55" t="str">
        <f t="shared" si="1"/>
        <v/>
      </c>
      <c r="T47" s="12"/>
      <c r="U47" s="12"/>
      <c r="V47" s="12"/>
      <c r="W47" s="12"/>
      <c r="X47" s="53"/>
      <c r="Y47" s="53"/>
      <c r="Z47" s="54"/>
      <c r="AA47" s="54">
        <v>1</v>
      </c>
      <c r="AB47" s="56"/>
      <c r="AC47" s="53"/>
      <c r="AD47" s="59"/>
    </row>
    <row r="48" spans="1:30" s="57" customFormat="1" ht="20.25">
      <c r="A48" s="53">
        <v>30</v>
      </c>
      <c r="B48" s="53">
        <v>3</v>
      </c>
      <c r="C48" s="53">
        <v>9</v>
      </c>
      <c r="D48" s="53">
        <v>2</v>
      </c>
      <c r="E48" s="58"/>
      <c r="F48" s="58"/>
      <c r="G48" s="53" t="s">
        <v>34</v>
      </c>
      <c r="H48" s="53">
        <v>1</v>
      </c>
      <c r="I48" s="53">
        <v>8974</v>
      </c>
      <c r="J48" s="53">
        <v>7</v>
      </c>
      <c r="K48" s="53" t="s">
        <v>31</v>
      </c>
      <c r="L48" s="53">
        <v>1</v>
      </c>
      <c r="M48" s="53"/>
      <c r="N48" s="53"/>
      <c r="O48" s="55">
        <v>12.58</v>
      </c>
      <c r="P48" s="55">
        <v>12.54</v>
      </c>
      <c r="Q48" s="55">
        <f t="shared" si="2"/>
        <v>-4.0000000000000924E-2</v>
      </c>
      <c r="R48" s="55"/>
      <c r="S48" s="55" t="str">
        <f t="shared" si="1"/>
        <v/>
      </c>
      <c r="T48" s="12"/>
      <c r="U48" s="12"/>
      <c r="V48" s="12"/>
      <c r="W48" s="12"/>
      <c r="X48" s="53"/>
      <c r="Y48" s="53"/>
      <c r="Z48" s="54"/>
      <c r="AA48" s="54">
        <v>1</v>
      </c>
      <c r="AB48" s="56"/>
      <c r="AC48" s="53"/>
      <c r="AD48" s="59"/>
    </row>
    <row r="49" spans="1:30" s="57" customFormat="1" ht="20.25">
      <c r="A49" s="53">
        <v>31</v>
      </c>
      <c r="B49" s="53">
        <v>3</v>
      </c>
      <c r="C49" s="53">
        <v>9</v>
      </c>
      <c r="D49" s="53">
        <v>2</v>
      </c>
      <c r="E49" s="58"/>
      <c r="F49" s="58"/>
      <c r="G49" s="53" t="s">
        <v>34</v>
      </c>
      <c r="H49" s="53">
        <v>2</v>
      </c>
      <c r="I49" s="53">
        <v>8974</v>
      </c>
      <c r="J49" s="53">
        <v>8</v>
      </c>
      <c r="K49" s="53" t="s">
        <v>31</v>
      </c>
      <c r="L49" s="53">
        <v>1</v>
      </c>
      <c r="M49" s="53"/>
      <c r="N49" s="53"/>
      <c r="O49" s="55">
        <v>12.53</v>
      </c>
      <c r="P49" s="55">
        <v>12.49</v>
      </c>
      <c r="Q49" s="55">
        <f t="shared" si="2"/>
        <v>-3.9999999999999147E-2</v>
      </c>
      <c r="R49" s="55"/>
      <c r="S49" s="55" t="str">
        <f t="shared" si="1"/>
        <v/>
      </c>
      <c r="T49" s="12"/>
      <c r="U49" s="12"/>
      <c r="V49" s="12"/>
      <c r="W49" s="12"/>
      <c r="X49" s="53"/>
      <c r="Y49" s="53"/>
      <c r="Z49" s="54"/>
      <c r="AA49" s="54">
        <v>1</v>
      </c>
      <c r="AB49" s="56"/>
      <c r="AC49" s="53"/>
      <c r="AD49" s="59"/>
    </row>
    <row r="50" spans="1:30" s="57" customFormat="1" ht="20.25">
      <c r="A50" s="53">
        <v>32</v>
      </c>
      <c r="B50" s="53">
        <v>3</v>
      </c>
      <c r="C50" s="53">
        <v>9</v>
      </c>
      <c r="D50" s="53">
        <v>2</v>
      </c>
      <c r="E50" s="58"/>
      <c r="F50" s="58"/>
      <c r="G50" s="53" t="s">
        <v>34</v>
      </c>
      <c r="H50" s="53">
        <v>2</v>
      </c>
      <c r="I50" s="53">
        <v>8974</v>
      </c>
      <c r="J50" s="53">
        <v>8</v>
      </c>
      <c r="K50" s="53" t="s">
        <v>29</v>
      </c>
      <c r="L50" s="53">
        <v>1</v>
      </c>
      <c r="M50" s="53"/>
      <c r="N50" s="53"/>
      <c r="O50" s="55">
        <v>12.54</v>
      </c>
      <c r="P50" s="55">
        <v>12.5</v>
      </c>
      <c r="Q50" s="55">
        <f t="shared" si="2"/>
        <v>-3.9999999999999147E-2</v>
      </c>
      <c r="R50" s="55"/>
      <c r="S50" s="55" t="str">
        <f t="shared" si="1"/>
        <v/>
      </c>
      <c r="T50" s="12"/>
      <c r="U50" s="12"/>
      <c r="V50" s="12"/>
      <c r="W50" s="12"/>
      <c r="X50" s="53"/>
      <c r="Y50" s="53"/>
      <c r="Z50" s="54" t="s">
        <v>30</v>
      </c>
      <c r="AA50" s="54">
        <v>1</v>
      </c>
      <c r="AB50" s="56"/>
      <c r="AC50" s="53"/>
      <c r="AD50" s="59"/>
    </row>
    <row r="51" spans="1:30" s="57" customFormat="1" ht="20.25">
      <c r="A51" s="53">
        <v>33</v>
      </c>
      <c r="B51" s="53">
        <v>3</v>
      </c>
      <c r="C51" s="53">
        <v>9</v>
      </c>
      <c r="D51" s="53">
        <v>2</v>
      </c>
      <c r="E51" s="58"/>
      <c r="F51" s="58"/>
      <c r="G51" s="53" t="s">
        <v>34</v>
      </c>
      <c r="H51" s="53">
        <v>2</v>
      </c>
      <c r="I51" s="53">
        <v>8975</v>
      </c>
      <c r="J51" s="53">
        <v>2</v>
      </c>
      <c r="K51" s="53" t="s">
        <v>31</v>
      </c>
      <c r="L51" s="53">
        <v>1</v>
      </c>
      <c r="M51" s="53"/>
      <c r="N51" s="53"/>
      <c r="O51" s="55">
        <v>12.54</v>
      </c>
      <c r="P51" s="55">
        <v>12.5</v>
      </c>
      <c r="Q51" s="55">
        <f t="shared" si="2"/>
        <v>-3.9999999999999147E-2</v>
      </c>
      <c r="R51" s="55"/>
      <c r="S51" s="55" t="str">
        <f t="shared" si="1"/>
        <v/>
      </c>
      <c r="T51" s="12"/>
      <c r="U51" s="12"/>
      <c r="V51" s="12"/>
      <c r="W51" s="12"/>
      <c r="X51" s="53"/>
      <c r="Y51" s="53"/>
      <c r="Z51" s="54"/>
      <c r="AA51" s="54">
        <v>1</v>
      </c>
      <c r="AB51" s="56"/>
      <c r="AC51" s="53"/>
      <c r="AD51" s="59"/>
    </row>
    <row r="52" spans="1:30" s="57" customFormat="1" ht="20.25">
      <c r="A52" s="53">
        <v>34</v>
      </c>
      <c r="B52" s="53">
        <v>3</v>
      </c>
      <c r="C52" s="53">
        <v>9</v>
      </c>
      <c r="D52" s="53">
        <v>2</v>
      </c>
      <c r="E52" s="58"/>
      <c r="F52" s="58"/>
      <c r="G52" s="53" t="s">
        <v>34</v>
      </c>
      <c r="H52" s="53">
        <v>2</v>
      </c>
      <c r="I52" s="53">
        <v>8975</v>
      </c>
      <c r="J52" s="53">
        <v>2</v>
      </c>
      <c r="K52" s="53" t="s">
        <v>31</v>
      </c>
      <c r="L52" s="53">
        <v>1</v>
      </c>
      <c r="M52" s="53"/>
      <c r="N52" s="53"/>
      <c r="O52" s="55">
        <v>12.54</v>
      </c>
      <c r="P52" s="55">
        <v>12.5</v>
      </c>
      <c r="Q52" s="55">
        <f t="shared" si="2"/>
        <v>-3.9999999999999147E-2</v>
      </c>
      <c r="R52" s="55"/>
      <c r="S52" s="55" t="str">
        <f t="shared" si="1"/>
        <v/>
      </c>
      <c r="T52" s="12"/>
      <c r="U52" s="12"/>
      <c r="V52" s="12"/>
      <c r="W52" s="12"/>
      <c r="X52" s="53"/>
      <c r="Y52" s="53"/>
      <c r="Z52" s="54"/>
      <c r="AA52" s="54">
        <v>1</v>
      </c>
      <c r="AB52" s="56"/>
      <c r="AC52" s="53"/>
      <c r="AD52" s="59"/>
    </row>
    <row r="53" spans="1:30" s="57" customFormat="1" ht="20.25">
      <c r="A53" s="53">
        <v>35</v>
      </c>
      <c r="B53" s="53">
        <v>3</v>
      </c>
      <c r="C53" s="53">
        <v>9</v>
      </c>
      <c r="D53" s="53">
        <v>2</v>
      </c>
      <c r="E53" s="58"/>
      <c r="F53" s="58"/>
      <c r="G53" s="53" t="s">
        <v>34</v>
      </c>
      <c r="H53" s="53">
        <v>2</v>
      </c>
      <c r="I53" s="53">
        <v>8975</v>
      </c>
      <c r="J53" s="53">
        <v>2</v>
      </c>
      <c r="K53" s="53" t="s">
        <v>29</v>
      </c>
      <c r="L53" s="53">
        <v>1</v>
      </c>
      <c r="M53" s="53"/>
      <c r="N53" s="53"/>
      <c r="O53" s="55">
        <v>12.54</v>
      </c>
      <c r="P53" s="55">
        <v>12.5</v>
      </c>
      <c r="Q53" s="55">
        <f t="shared" si="2"/>
        <v>-3.9999999999999147E-2</v>
      </c>
      <c r="R53" s="55"/>
      <c r="S53" s="55" t="str">
        <f t="shared" si="1"/>
        <v/>
      </c>
      <c r="T53" s="12"/>
      <c r="U53" s="12"/>
      <c r="V53" s="12"/>
      <c r="W53" s="12"/>
      <c r="X53" s="53"/>
      <c r="Y53" s="53"/>
      <c r="Z53" s="54"/>
      <c r="AA53" s="54">
        <v>1</v>
      </c>
      <c r="AB53" s="56"/>
      <c r="AC53" s="53"/>
      <c r="AD53" s="59"/>
    </row>
    <row r="54" spans="1:30" s="57" customFormat="1" ht="20.25">
      <c r="A54" s="53">
        <v>36</v>
      </c>
      <c r="B54" s="53">
        <v>3</v>
      </c>
      <c r="C54" s="53">
        <v>9</v>
      </c>
      <c r="D54" s="53">
        <v>2</v>
      </c>
      <c r="E54" s="58"/>
      <c r="F54" s="58"/>
      <c r="G54" s="53" t="s">
        <v>34</v>
      </c>
      <c r="H54" s="53">
        <v>1</v>
      </c>
      <c r="I54" s="53">
        <v>8975</v>
      </c>
      <c r="J54" s="53">
        <v>3</v>
      </c>
      <c r="K54" s="53" t="s">
        <v>31</v>
      </c>
      <c r="L54" s="53">
        <v>1</v>
      </c>
      <c r="M54" s="53"/>
      <c r="N54" s="53"/>
      <c r="O54" s="55">
        <v>12.54</v>
      </c>
      <c r="P54" s="55">
        <v>12.5</v>
      </c>
      <c r="Q54" s="55">
        <f t="shared" si="2"/>
        <v>-3.9999999999999147E-2</v>
      </c>
      <c r="R54" s="55"/>
      <c r="S54" s="55" t="str">
        <f t="shared" si="1"/>
        <v/>
      </c>
      <c r="T54" s="12"/>
      <c r="U54" s="12"/>
      <c r="V54" s="12"/>
      <c r="W54" s="12"/>
      <c r="X54" s="53"/>
      <c r="Y54" s="53"/>
      <c r="Z54" s="54"/>
      <c r="AA54" s="54">
        <v>1</v>
      </c>
      <c r="AB54" s="56"/>
      <c r="AC54" s="53"/>
      <c r="AD54" s="59"/>
    </row>
    <row r="55" spans="1:30" s="57" customFormat="1" ht="20.25">
      <c r="A55" s="53">
        <v>37</v>
      </c>
      <c r="B55" s="53">
        <v>3</v>
      </c>
      <c r="C55" s="53">
        <v>9</v>
      </c>
      <c r="D55" s="53">
        <v>2</v>
      </c>
      <c r="E55" s="58"/>
      <c r="F55" s="58"/>
      <c r="G55" s="53" t="s">
        <v>34</v>
      </c>
      <c r="H55" s="53">
        <v>1</v>
      </c>
      <c r="I55" s="53">
        <v>8976</v>
      </c>
      <c r="J55" s="53">
        <v>3</v>
      </c>
      <c r="K55" s="53" t="s">
        <v>29</v>
      </c>
      <c r="L55" s="53">
        <v>1</v>
      </c>
      <c r="M55" s="53"/>
      <c r="N55" s="53"/>
      <c r="O55" s="55">
        <v>12.54</v>
      </c>
      <c r="P55" s="55">
        <v>12.5</v>
      </c>
      <c r="Q55" s="55">
        <f t="shared" si="2"/>
        <v>-3.9999999999999147E-2</v>
      </c>
      <c r="R55" s="55"/>
      <c r="S55" s="55" t="str">
        <f t="shared" si="1"/>
        <v/>
      </c>
      <c r="T55" s="12"/>
      <c r="U55" s="12"/>
      <c r="V55" s="12"/>
      <c r="W55" s="12"/>
      <c r="X55" s="53"/>
      <c r="Y55" s="53"/>
      <c r="Z55" s="54"/>
      <c r="AA55" s="54">
        <v>1</v>
      </c>
      <c r="AB55" s="56"/>
      <c r="AC55" s="53"/>
      <c r="AD55" s="59"/>
    </row>
    <row r="56" spans="1:30" s="57" customFormat="1" ht="20.25">
      <c r="A56" s="53">
        <v>38</v>
      </c>
      <c r="B56" s="53">
        <v>3</v>
      </c>
      <c r="C56" s="53">
        <v>9</v>
      </c>
      <c r="D56" s="53">
        <v>2</v>
      </c>
      <c r="E56" s="58"/>
      <c r="F56" s="58"/>
      <c r="G56" s="53" t="s">
        <v>34</v>
      </c>
      <c r="H56" s="53">
        <v>2</v>
      </c>
      <c r="I56" s="53">
        <v>8977</v>
      </c>
      <c r="J56" s="53">
        <v>1</v>
      </c>
      <c r="K56" s="53" t="s">
        <v>29</v>
      </c>
      <c r="L56" s="53">
        <v>1</v>
      </c>
      <c r="M56" s="53"/>
      <c r="N56" s="53"/>
      <c r="O56" s="55">
        <v>8.18</v>
      </c>
      <c r="P56" s="55">
        <v>8.15</v>
      </c>
      <c r="Q56" s="55">
        <f t="shared" si="2"/>
        <v>-2.9999999999999361E-2</v>
      </c>
      <c r="R56" s="55"/>
      <c r="S56" s="55" t="str">
        <f t="shared" si="1"/>
        <v/>
      </c>
      <c r="T56" s="12"/>
      <c r="U56" s="12"/>
      <c r="V56" s="12"/>
      <c r="W56" s="12"/>
      <c r="X56" s="53"/>
      <c r="Y56" s="53"/>
      <c r="Z56" s="54">
        <v>1</v>
      </c>
      <c r="AA56" s="54"/>
      <c r="AB56" s="56"/>
      <c r="AC56" s="53"/>
      <c r="AD56" s="59"/>
    </row>
    <row r="57" spans="1:30" s="57" customFormat="1" ht="20.25">
      <c r="A57" s="53">
        <v>39</v>
      </c>
      <c r="B57" s="53">
        <v>3</v>
      </c>
      <c r="C57" s="53">
        <v>9</v>
      </c>
      <c r="D57" s="53">
        <v>2</v>
      </c>
      <c r="E57" s="58"/>
      <c r="F57" s="58"/>
      <c r="G57" s="53" t="s">
        <v>34</v>
      </c>
      <c r="H57" s="53">
        <v>2</v>
      </c>
      <c r="I57" s="53">
        <v>8977</v>
      </c>
      <c r="J57" s="53">
        <v>3</v>
      </c>
      <c r="K57" s="53" t="s">
        <v>29</v>
      </c>
      <c r="L57" s="53">
        <v>1</v>
      </c>
      <c r="M57" s="53"/>
      <c r="N57" s="53"/>
      <c r="O57" s="55">
        <v>9.7200000000000006</v>
      </c>
      <c r="P57" s="55">
        <v>9.69</v>
      </c>
      <c r="Q57" s="55">
        <f t="shared" si="2"/>
        <v>-3.0000000000001137E-2</v>
      </c>
      <c r="R57" s="55"/>
      <c r="S57" s="55" t="str">
        <f t="shared" si="1"/>
        <v/>
      </c>
      <c r="T57" s="12"/>
      <c r="U57" s="12"/>
      <c r="V57" s="12"/>
      <c r="W57" s="12"/>
      <c r="X57" s="53"/>
      <c r="Y57" s="53"/>
      <c r="Z57" s="54">
        <v>1</v>
      </c>
      <c r="AA57" s="54" t="s">
        <v>30</v>
      </c>
      <c r="AB57" s="56"/>
      <c r="AC57" s="53"/>
      <c r="AD57" s="59"/>
    </row>
    <row r="58" spans="1:30" s="57" customFormat="1" ht="20.25">
      <c r="A58" s="53">
        <v>40</v>
      </c>
      <c r="B58" s="53">
        <v>3</v>
      </c>
      <c r="C58" s="53">
        <v>9</v>
      </c>
      <c r="D58" s="53">
        <v>2</v>
      </c>
      <c r="E58" s="58"/>
      <c r="F58" s="58"/>
      <c r="G58" s="53" t="s">
        <v>35</v>
      </c>
      <c r="H58" s="53">
        <v>2</v>
      </c>
      <c r="I58" s="53">
        <v>8977</v>
      </c>
      <c r="J58" s="53">
        <v>4</v>
      </c>
      <c r="K58" s="53" t="s">
        <v>29</v>
      </c>
      <c r="L58" s="53">
        <v>1</v>
      </c>
      <c r="M58" s="53"/>
      <c r="N58" s="53"/>
      <c r="O58" s="55">
        <v>8.31</v>
      </c>
      <c r="P58" s="55">
        <v>8.27</v>
      </c>
      <c r="Q58" s="55">
        <f t="shared" si="2"/>
        <v>-4.0000000000000924E-2</v>
      </c>
      <c r="R58" s="55"/>
      <c r="S58" s="55" t="str">
        <f t="shared" si="1"/>
        <v/>
      </c>
      <c r="T58" s="12"/>
      <c r="U58" s="12"/>
      <c r="V58" s="12"/>
      <c r="W58" s="12"/>
      <c r="X58" s="53"/>
      <c r="Y58" s="53"/>
      <c r="Z58" s="54">
        <v>1</v>
      </c>
      <c r="AA58" s="54"/>
      <c r="AB58" s="56"/>
      <c r="AC58" s="53"/>
      <c r="AD58" s="59"/>
    </row>
    <row r="59" spans="1:30" s="57" customFormat="1" ht="20.25">
      <c r="A59" s="53">
        <v>41</v>
      </c>
      <c r="B59" s="53">
        <v>3</v>
      </c>
      <c r="C59" s="53">
        <v>9</v>
      </c>
      <c r="D59" s="53">
        <v>2</v>
      </c>
      <c r="E59" s="58"/>
      <c r="F59" s="58"/>
      <c r="G59" s="53" t="s">
        <v>35</v>
      </c>
      <c r="H59" s="53">
        <v>2</v>
      </c>
      <c r="I59" s="53">
        <v>8977</v>
      </c>
      <c r="J59" s="53">
        <v>7</v>
      </c>
      <c r="K59" s="53" t="s">
        <v>29</v>
      </c>
      <c r="L59" s="53">
        <v>1</v>
      </c>
      <c r="M59" s="53"/>
      <c r="N59" s="53"/>
      <c r="O59" s="55">
        <v>8.65</v>
      </c>
      <c r="P59" s="55">
        <v>8.6</v>
      </c>
      <c r="Q59" s="55">
        <f t="shared" si="2"/>
        <v>-5.0000000000000711E-2</v>
      </c>
      <c r="R59" s="55"/>
      <c r="S59" s="55" t="str">
        <f t="shared" si="1"/>
        <v/>
      </c>
      <c r="T59" s="12"/>
      <c r="U59" s="12"/>
      <c r="V59" s="12"/>
      <c r="W59" s="12"/>
      <c r="X59" s="53"/>
      <c r="Y59" s="53"/>
      <c r="Z59" s="54">
        <v>1</v>
      </c>
      <c r="AA59" s="54"/>
      <c r="AB59" s="56"/>
      <c r="AC59" s="53"/>
      <c r="AD59" s="59"/>
    </row>
    <row r="60" spans="1:30" s="57" customFormat="1" ht="20.25">
      <c r="A60" s="53">
        <v>42</v>
      </c>
      <c r="B60" s="53">
        <v>3</v>
      </c>
      <c r="C60" s="53">
        <v>9</v>
      </c>
      <c r="D60" s="53">
        <v>2</v>
      </c>
      <c r="E60" s="58"/>
      <c r="F60" s="58"/>
      <c r="G60" s="53" t="s">
        <v>35</v>
      </c>
      <c r="H60" s="53">
        <v>2</v>
      </c>
      <c r="I60" s="53">
        <v>8977</v>
      </c>
      <c r="J60" s="53">
        <v>7</v>
      </c>
      <c r="K60" s="53" t="s">
        <v>31</v>
      </c>
      <c r="L60" s="53">
        <v>1</v>
      </c>
      <c r="M60" s="53"/>
      <c r="N60" s="53"/>
      <c r="O60" s="55">
        <v>8.34</v>
      </c>
      <c r="P60" s="55">
        <v>8.31</v>
      </c>
      <c r="Q60" s="55">
        <f t="shared" si="2"/>
        <v>-2.9999999999999361E-2</v>
      </c>
      <c r="R60" s="55"/>
      <c r="S60" s="55" t="str">
        <f t="shared" si="1"/>
        <v/>
      </c>
      <c r="T60" s="12"/>
      <c r="U60" s="12"/>
      <c r="V60" s="12"/>
      <c r="W60" s="12"/>
      <c r="X60" s="53"/>
      <c r="Y60" s="53"/>
      <c r="Z60" s="54">
        <v>1</v>
      </c>
      <c r="AA60" s="54"/>
      <c r="AB60" s="56"/>
      <c r="AC60" s="53"/>
      <c r="AD60" s="59"/>
    </row>
    <row r="61" spans="1:30" s="57" customFormat="1" ht="20.25">
      <c r="A61" s="53">
        <v>43</v>
      </c>
      <c r="B61" s="53">
        <v>3</v>
      </c>
      <c r="C61" s="53">
        <v>9</v>
      </c>
      <c r="D61" s="53">
        <v>2</v>
      </c>
      <c r="E61" s="58"/>
      <c r="F61" s="58"/>
      <c r="G61" s="53" t="s">
        <v>35</v>
      </c>
      <c r="H61" s="53">
        <v>2</v>
      </c>
      <c r="I61" s="53">
        <v>8977</v>
      </c>
      <c r="J61" s="53">
        <v>10</v>
      </c>
      <c r="K61" s="53" t="s">
        <v>31</v>
      </c>
      <c r="L61" s="53">
        <v>1</v>
      </c>
      <c r="M61" s="53"/>
      <c r="N61" s="53"/>
      <c r="O61" s="55">
        <v>8.1300000000000008</v>
      </c>
      <c r="P61" s="55">
        <v>8.09</v>
      </c>
      <c r="Q61" s="55">
        <f t="shared" si="2"/>
        <v>-4.0000000000000924E-2</v>
      </c>
      <c r="R61" s="55"/>
      <c r="S61" s="55" t="str">
        <f t="shared" si="1"/>
        <v/>
      </c>
      <c r="T61" s="12"/>
      <c r="U61" s="12"/>
      <c r="V61" s="12"/>
      <c r="W61" s="12"/>
      <c r="X61" s="53"/>
      <c r="Y61" s="53"/>
      <c r="Z61" s="54">
        <v>1</v>
      </c>
      <c r="AA61" s="54"/>
      <c r="AB61" s="56"/>
      <c r="AC61" s="53"/>
      <c r="AD61" s="59"/>
    </row>
    <row r="62" spans="1:30" s="57" customFormat="1" ht="20.25">
      <c r="A62" s="53">
        <v>44</v>
      </c>
      <c r="B62" s="53">
        <v>3</v>
      </c>
      <c r="C62" s="53">
        <v>9</v>
      </c>
      <c r="D62" s="53">
        <v>2</v>
      </c>
      <c r="E62" s="58"/>
      <c r="F62" s="58"/>
      <c r="G62" s="53" t="s">
        <v>35</v>
      </c>
      <c r="H62" s="53">
        <v>2</v>
      </c>
      <c r="I62" s="53">
        <v>8977</v>
      </c>
      <c r="J62" s="53">
        <v>10</v>
      </c>
      <c r="K62" s="53" t="s">
        <v>29</v>
      </c>
      <c r="L62" s="53">
        <v>1</v>
      </c>
      <c r="M62" s="53"/>
      <c r="N62" s="53"/>
      <c r="O62" s="55">
        <v>11.53</v>
      </c>
      <c r="P62" s="55">
        <v>11.48</v>
      </c>
      <c r="Q62" s="55">
        <f t="shared" si="2"/>
        <v>-4.9999999999998934E-2</v>
      </c>
      <c r="R62" s="55"/>
      <c r="S62" s="55" t="str">
        <f t="shared" si="1"/>
        <v/>
      </c>
      <c r="T62" s="12"/>
      <c r="U62" s="12"/>
      <c r="V62" s="12"/>
      <c r="W62" s="12"/>
      <c r="X62" s="53"/>
      <c r="Y62" s="53"/>
      <c r="Z62" s="54">
        <v>1</v>
      </c>
      <c r="AA62" s="54"/>
      <c r="AB62" s="56"/>
      <c r="AC62" s="53"/>
      <c r="AD62" s="59"/>
    </row>
    <row r="63" spans="1:30" s="57" customFormat="1" ht="20.25">
      <c r="A63" s="53">
        <v>45</v>
      </c>
      <c r="B63" s="53">
        <v>3</v>
      </c>
      <c r="C63" s="53">
        <v>9</v>
      </c>
      <c r="D63" s="53">
        <v>3</v>
      </c>
      <c r="E63" s="58"/>
      <c r="F63" s="58"/>
      <c r="G63" s="53" t="s">
        <v>35</v>
      </c>
      <c r="H63" s="53">
        <v>2</v>
      </c>
      <c r="I63" s="53">
        <v>8978</v>
      </c>
      <c r="J63" s="53">
        <v>5</v>
      </c>
      <c r="K63" s="53" t="s">
        <v>29</v>
      </c>
      <c r="L63" s="53">
        <v>1</v>
      </c>
      <c r="M63" s="53"/>
      <c r="N63" s="53"/>
      <c r="O63" s="55">
        <v>8.14</v>
      </c>
      <c r="P63" s="55">
        <v>8.1</v>
      </c>
      <c r="Q63" s="55">
        <f t="shared" si="2"/>
        <v>-4.0000000000000924E-2</v>
      </c>
      <c r="R63" s="55"/>
      <c r="S63" s="55" t="str">
        <f t="shared" si="1"/>
        <v/>
      </c>
      <c r="T63" s="12"/>
      <c r="U63" s="12"/>
      <c r="V63" s="12"/>
      <c r="W63" s="12"/>
      <c r="X63" s="53"/>
      <c r="Y63" s="53"/>
      <c r="Z63" s="54">
        <v>1</v>
      </c>
      <c r="AA63" s="54"/>
      <c r="AB63" s="56"/>
      <c r="AC63" s="53"/>
      <c r="AD63" s="59"/>
    </row>
    <row r="64" spans="1:30" s="57" customFormat="1" ht="20.25">
      <c r="A64" s="53">
        <v>46</v>
      </c>
      <c r="B64" s="53">
        <v>3</v>
      </c>
      <c r="C64" s="53">
        <v>9</v>
      </c>
      <c r="D64" s="53">
        <v>3</v>
      </c>
      <c r="E64" s="58"/>
      <c r="F64" s="58"/>
      <c r="G64" s="53" t="s">
        <v>35</v>
      </c>
      <c r="H64" s="53">
        <v>2</v>
      </c>
      <c r="I64" s="53">
        <v>8978</v>
      </c>
      <c r="J64" s="53">
        <v>5</v>
      </c>
      <c r="K64" s="53" t="s">
        <v>31</v>
      </c>
      <c r="L64" s="53">
        <v>1</v>
      </c>
      <c r="M64" s="53"/>
      <c r="N64" s="53"/>
      <c r="O64" s="55">
        <v>8.0399999999999991</v>
      </c>
      <c r="P64" s="55">
        <v>8</v>
      </c>
      <c r="Q64" s="55">
        <f t="shared" si="2"/>
        <v>-3.9999999999999147E-2</v>
      </c>
      <c r="R64" s="55"/>
      <c r="S64" s="55" t="str">
        <f t="shared" si="1"/>
        <v/>
      </c>
      <c r="T64" s="12"/>
      <c r="U64" s="12"/>
      <c r="V64" s="12"/>
      <c r="W64" s="12"/>
      <c r="X64" s="53"/>
      <c r="Y64" s="53"/>
      <c r="Z64" s="54">
        <v>1</v>
      </c>
      <c r="AA64" s="54"/>
      <c r="AB64" s="56"/>
      <c r="AC64" s="53"/>
      <c r="AD64" s="59"/>
    </row>
    <row r="65" spans="1:30" s="57" customFormat="1" ht="20.25">
      <c r="A65" s="53">
        <v>47</v>
      </c>
      <c r="B65" s="53">
        <v>3</v>
      </c>
      <c r="C65" s="53">
        <v>9</v>
      </c>
      <c r="D65" s="53">
        <v>3</v>
      </c>
      <c r="E65" s="58"/>
      <c r="F65" s="58"/>
      <c r="G65" s="53" t="s">
        <v>35</v>
      </c>
      <c r="H65" s="53">
        <v>2</v>
      </c>
      <c r="I65" s="53">
        <v>8978</v>
      </c>
      <c r="J65" s="53">
        <v>7</v>
      </c>
      <c r="K65" s="53" t="s">
        <v>31</v>
      </c>
      <c r="L65" s="53">
        <v>1</v>
      </c>
      <c r="M65" s="53"/>
      <c r="N65" s="53"/>
      <c r="O65" s="55">
        <v>9.59</v>
      </c>
      <c r="P65" s="55">
        <v>9.5500000000000007</v>
      </c>
      <c r="Q65" s="55">
        <f t="shared" si="2"/>
        <v>-3.9999999999999147E-2</v>
      </c>
      <c r="R65" s="55"/>
      <c r="S65" s="55" t="str">
        <f t="shared" si="1"/>
        <v/>
      </c>
      <c r="T65" s="12"/>
      <c r="U65" s="12"/>
      <c r="V65" s="12"/>
      <c r="W65" s="12"/>
      <c r="X65" s="53"/>
      <c r="Y65" s="53"/>
      <c r="Z65" s="54">
        <v>1</v>
      </c>
      <c r="AA65" s="54"/>
      <c r="AB65" s="56"/>
      <c r="AC65" s="53"/>
      <c r="AD65" s="59"/>
    </row>
    <row r="66" spans="1:30" s="57" customFormat="1" ht="20.25">
      <c r="A66" s="53">
        <v>48</v>
      </c>
      <c r="B66" s="53">
        <v>3</v>
      </c>
      <c r="C66" s="53">
        <v>9</v>
      </c>
      <c r="D66" s="53">
        <v>3</v>
      </c>
      <c r="E66" s="58"/>
      <c r="F66" s="58"/>
      <c r="G66" s="53" t="s">
        <v>35</v>
      </c>
      <c r="H66" s="53">
        <v>2</v>
      </c>
      <c r="I66" s="53">
        <v>8978</v>
      </c>
      <c r="J66" s="53">
        <v>9</v>
      </c>
      <c r="K66" s="53" t="s">
        <v>29</v>
      </c>
      <c r="L66" s="53">
        <v>1</v>
      </c>
      <c r="M66" s="53"/>
      <c r="N66" s="53"/>
      <c r="O66" s="55">
        <v>8.31</v>
      </c>
      <c r="P66" s="55">
        <v>8.2799999999999994</v>
      </c>
      <c r="Q66" s="55">
        <f t="shared" si="2"/>
        <v>-3.0000000000001137E-2</v>
      </c>
      <c r="R66" s="55"/>
      <c r="S66" s="55" t="str">
        <f t="shared" si="1"/>
        <v/>
      </c>
      <c r="T66" s="12"/>
      <c r="U66" s="12"/>
      <c r="V66" s="12"/>
      <c r="W66" s="12"/>
      <c r="X66" s="53"/>
      <c r="Y66" s="53"/>
      <c r="Z66" s="54">
        <v>1</v>
      </c>
      <c r="AA66" s="54"/>
      <c r="AB66" s="56"/>
      <c r="AC66" s="53"/>
      <c r="AD66" s="59"/>
    </row>
    <row r="67" spans="1:30" s="57" customFormat="1" ht="20.25">
      <c r="A67" s="53">
        <v>49</v>
      </c>
      <c r="B67" s="53">
        <v>3</v>
      </c>
      <c r="C67" s="53">
        <v>9</v>
      </c>
      <c r="D67" s="53">
        <v>3</v>
      </c>
      <c r="E67" s="58"/>
      <c r="F67" s="58"/>
      <c r="G67" s="53" t="s">
        <v>35</v>
      </c>
      <c r="H67" s="53">
        <v>2</v>
      </c>
      <c r="I67" s="53">
        <v>8979</v>
      </c>
      <c r="J67" s="53">
        <v>4</v>
      </c>
      <c r="K67" s="53" t="s">
        <v>31</v>
      </c>
      <c r="L67" s="53">
        <v>1</v>
      </c>
      <c r="M67" s="53"/>
      <c r="N67" s="53"/>
      <c r="O67" s="55">
        <v>8.08</v>
      </c>
      <c r="P67" s="55">
        <v>8.0500000000000007</v>
      </c>
      <c r="Q67" s="55">
        <f t="shared" si="2"/>
        <v>-2.9999999999999361E-2</v>
      </c>
      <c r="R67" s="55"/>
      <c r="S67" s="55" t="str">
        <f t="shared" si="1"/>
        <v/>
      </c>
      <c r="T67" s="12"/>
      <c r="U67" s="12"/>
      <c r="V67" s="12"/>
      <c r="W67" s="12"/>
      <c r="X67" s="53"/>
      <c r="Y67" s="53"/>
      <c r="Z67" s="54">
        <v>1</v>
      </c>
      <c r="AA67" s="54" t="s">
        <v>30</v>
      </c>
      <c r="AB67" s="56"/>
      <c r="AC67" s="53"/>
      <c r="AD67" s="59"/>
    </row>
    <row r="68" spans="1:30" s="57" customFormat="1" ht="20.25">
      <c r="A68" s="53">
        <v>50</v>
      </c>
      <c r="B68" s="53">
        <v>3</v>
      </c>
      <c r="C68" s="53">
        <v>9</v>
      </c>
      <c r="D68" s="53">
        <v>3</v>
      </c>
      <c r="E68" s="58"/>
      <c r="F68" s="58"/>
      <c r="G68" s="53" t="s">
        <v>35</v>
      </c>
      <c r="H68" s="53">
        <v>2</v>
      </c>
      <c r="I68" s="53">
        <v>8979</v>
      </c>
      <c r="J68" s="53">
        <v>8</v>
      </c>
      <c r="K68" s="53" t="s">
        <v>29</v>
      </c>
      <c r="L68" s="53">
        <v>1</v>
      </c>
      <c r="M68" s="53">
        <v>1</v>
      </c>
      <c r="N68" s="53"/>
      <c r="O68" s="55">
        <v>11.65</v>
      </c>
      <c r="P68" s="55">
        <v>11.6</v>
      </c>
      <c r="Q68" s="55">
        <f t="shared" si="2"/>
        <v>-5.0000000000000711E-2</v>
      </c>
      <c r="R68" s="55"/>
      <c r="S68" s="55" t="str">
        <f t="shared" si="1"/>
        <v/>
      </c>
      <c r="T68" s="12"/>
      <c r="U68" s="12"/>
      <c r="V68" s="12"/>
      <c r="W68" s="12"/>
      <c r="X68" s="53"/>
      <c r="Y68" s="53"/>
      <c r="Z68" s="54">
        <v>1</v>
      </c>
      <c r="AA68" s="54" t="s">
        <v>30</v>
      </c>
      <c r="AB68" s="56"/>
      <c r="AC68" s="53"/>
      <c r="AD68" s="59"/>
    </row>
    <row r="69" spans="1:30" s="57" customFormat="1" ht="20.25">
      <c r="A69" s="53">
        <v>51</v>
      </c>
      <c r="B69" s="53">
        <v>3</v>
      </c>
      <c r="C69" s="53">
        <v>9</v>
      </c>
      <c r="D69" s="53">
        <v>3</v>
      </c>
      <c r="E69" s="58"/>
      <c r="F69" s="58"/>
      <c r="G69" s="53" t="s">
        <v>35</v>
      </c>
      <c r="H69" s="53">
        <v>2</v>
      </c>
      <c r="I69" s="53">
        <v>8979</v>
      </c>
      <c r="J69" s="53">
        <v>8</v>
      </c>
      <c r="K69" s="53" t="s">
        <v>31</v>
      </c>
      <c r="L69" s="53">
        <v>1</v>
      </c>
      <c r="M69" s="53"/>
      <c r="N69" s="53"/>
      <c r="O69" s="55">
        <v>9.08</v>
      </c>
      <c r="P69" s="55">
        <v>9.06</v>
      </c>
      <c r="Q69" s="55">
        <f t="shared" si="2"/>
        <v>-1.9999999999999574E-2</v>
      </c>
      <c r="R69" s="55"/>
      <c r="S69" s="55" t="str">
        <f t="shared" si="1"/>
        <v/>
      </c>
      <c r="T69" s="12"/>
      <c r="U69" s="12"/>
      <c r="V69" s="12"/>
      <c r="W69" s="12"/>
      <c r="X69" s="53"/>
      <c r="Y69" s="53"/>
      <c r="Z69" s="54">
        <v>1</v>
      </c>
      <c r="AA69" s="54"/>
      <c r="AB69" s="56"/>
      <c r="AC69" s="53"/>
      <c r="AD69" s="59"/>
    </row>
    <row r="70" spans="1:30" s="57" customFormat="1" ht="20.25">
      <c r="A70" s="53">
        <v>52</v>
      </c>
      <c r="B70" s="53">
        <v>3</v>
      </c>
      <c r="C70" s="53">
        <v>9</v>
      </c>
      <c r="D70" s="53">
        <v>3</v>
      </c>
      <c r="E70" s="58"/>
      <c r="F70" s="58"/>
      <c r="G70" s="53" t="s">
        <v>35</v>
      </c>
      <c r="H70" s="53">
        <v>2</v>
      </c>
      <c r="I70" s="53">
        <v>8980</v>
      </c>
      <c r="J70" s="53">
        <v>5</v>
      </c>
      <c r="K70" s="53" t="s">
        <v>31</v>
      </c>
      <c r="L70" s="53">
        <v>1</v>
      </c>
      <c r="M70" s="53"/>
      <c r="N70" s="53"/>
      <c r="O70" s="55">
        <v>8.0500000000000007</v>
      </c>
      <c r="P70" s="55">
        <v>8.0299999999999994</v>
      </c>
      <c r="Q70" s="55">
        <f t="shared" si="2"/>
        <v>-2.000000000000135E-2</v>
      </c>
      <c r="R70" s="55"/>
      <c r="S70" s="55" t="str">
        <f t="shared" si="1"/>
        <v/>
      </c>
      <c r="T70" s="12"/>
      <c r="U70" s="12"/>
      <c r="V70" s="12"/>
      <c r="W70" s="12"/>
      <c r="X70" s="53"/>
      <c r="Y70" s="53"/>
      <c r="Z70" s="54">
        <v>1</v>
      </c>
      <c r="AA70" s="54"/>
      <c r="AB70" s="56"/>
      <c r="AC70" s="53"/>
      <c r="AD70" s="59"/>
    </row>
    <row r="71" spans="1:30" s="57" customFormat="1" ht="20.25">
      <c r="A71" s="53">
        <v>53</v>
      </c>
      <c r="B71" s="53">
        <v>3</v>
      </c>
      <c r="C71" s="53">
        <v>9</v>
      </c>
      <c r="D71" s="53">
        <v>3</v>
      </c>
      <c r="E71" s="58"/>
      <c r="F71" s="58"/>
      <c r="G71" s="53" t="s">
        <v>35</v>
      </c>
      <c r="H71" s="53">
        <v>2</v>
      </c>
      <c r="I71" s="53">
        <v>8980</v>
      </c>
      <c r="J71" s="53">
        <v>8</v>
      </c>
      <c r="K71" s="53" t="s">
        <v>31</v>
      </c>
      <c r="L71" s="53">
        <v>1</v>
      </c>
      <c r="M71" s="53"/>
      <c r="N71" s="53"/>
      <c r="O71" s="55">
        <v>11.58</v>
      </c>
      <c r="P71" s="55">
        <v>11.55</v>
      </c>
      <c r="Q71" s="55">
        <f t="shared" si="2"/>
        <v>-2.9999999999999361E-2</v>
      </c>
      <c r="R71" s="55"/>
      <c r="S71" s="55" t="str">
        <f t="shared" si="1"/>
        <v/>
      </c>
      <c r="T71" s="12"/>
      <c r="U71" s="12"/>
      <c r="V71" s="12"/>
      <c r="W71" s="12"/>
      <c r="X71" s="53"/>
      <c r="Y71" s="53"/>
      <c r="Z71" s="54">
        <v>1</v>
      </c>
      <c r="AA71" s="54"/>
      <c r="AB71" s="56"/>
      <c r="AC71" s="53"/>
      <c r="AD71" s="59"/>
    </row>
    <row r="72" spans="1:30" s="57" customFormat="1" ht="20.25">
      <c r="A72" s="53">
        <v>54</v>
      </c>
      <c r="B72" s="53">
        <v>3</v>
      </c>
      <c r="C72" s="53">
        <v>9</v>
      </c>
      <c r="D72" s="53">
        <v>3</v>
      </c>
      <c r="E72" s="58"/>
      <c r="F72" s="58"/>
      <c r="G72" s="53" t="s">
        <v>35</v>
      </c>
      <c r="H72" s="53">
        <v>2</v>
      </c>
      <c r="I72" s="53">
        <v>8980</v>
      </c>
      <c r="J72" s="53">
        <v>9</v>
      </c>
      <c r="K72" s="53" t="s">
        <v>29</v>
      </c>
      <c r="L72" s="53">
        <v>1</v>
      </c>
      <c r="M72" s="53">
        <v>1</v>
      </c>
      <c r="N72" s="53"/>
      <c r="O72" s="55">
        <v>11.6</v>
      </c>
      <c r="P72" s="55">
        <v>11.53</v>
      </c>
      <c r="Q72" s="55">
        <f t="shared" si="2"/>
        <v>-7.0000000000000284E-2</v>
      </c>
      <c r="R72" s="55"/>
      <c r="S72" s="55" t="str">
        <f t="shared" si="1"/>
        <v/>
      </c>
      <c r="T72" s="12"/>
      <c r="U72" s="12"/>
      <c r="V72" s="12"/>
      <c r="W72" s="12"/>
      <c r="X72" s="53"/>
      <c r="Y72" s="53"/>
      <c r="Z72" s="54">
        <v>1</v>
      </c>
      <c r="AA72" s="54"/>
      <c r="AB72" s="56"/>
      <c r="AC72" s="53"/>
      <c r="AD72" s="59"/>
    </row>
    <row r="73" spans="1:30" s="57" customFormat="1" ht="20.25">
      <c r="A73" s="53">
        <v>55</v>
      </c>
      <c r="B73" s="53">
        <v>3</v>
      </c>
      <c r="C73" s="53">
        <v>9</v>
      </c>
      <c r="D73" s="53">
        <v>3</v>
      </c>
      <c r="E73" s="58"/>
      <c r="F73" s="58"/>
      <c r="G73" s="53" t="s">
        <v>35</v>
      </c>
      <c r="H73" s="53">
        <v>2</v>
      </c>
      <c r="I73" s="53">
        <v>8981</v>
      </c>
      <c r="J73" s="53">
        <v>6</v>
      </c>
      <c r="K73" s="53" t="s">
        <v>29</v>
      </c>
      <c r="L73" s="53">
        <v>1</v>
      </c>
      <c r="M73" s="53"/>
      <c r="N73" s="53"/>
      <c r="O73" s="55">
        <v>8.0399999999999991</v>
      </c>
      <c r="P73" s="55">
        <v>8</v>
      </c>
      <c r="Q73" s="55">
        <f t="shared" si="2"/>
        <v>-3.9999999999999147E-2</v>
      </c>
      <c r="R73" s="55"/>
      <c r="S73" s="55" t="str">
        <f t="shared" si="1"/>
        <v/>
      </c>
      <c r="T73" s="12"/>
      <c r="U73" s="12"/>
      <c r="V73" s="12"/>
      <c r="W73" s="12"/>
      <c r="X73" s="53"/>
      <c r="Y73" s="53"/>
      <c r="Z73" s="54">
        <v>1</v>
      </c>
      <c r="AA73" s="54" t="s">
        <v>30</v>
      </c>
      <c r="AB73" s="56"/>
      <c r="AC73" s="53"/>
      <c r="AD73" s="59"/>
    </row>
    <row r="74" spans="1:30" s="57" customFormat="1" ht="20.25">
      <c r="A74" s="53">
        <v>56</v>
      </c>
      <c r="B74" s="53">
        <v>3</v>
      </c>
      <c r="C74" s="53">
        <v>9</v>
      </c>
      <c r="D74" s="53">
        <v>3</v>
      </c>
      <c r="E74" s="58"/>
      <c r="F74" s="58"/>
      <c r="G74" s="53" t="s">
        <v>35</v>
      </c>
      <c r="H74" s="53">
        <v>2</v>
      </c>
      <c r="I74" s="53">
        <v>8981</v>
      </c>
      <c r="J74" s="53">
        <v>7</v>
      </c>
      <c r="K74" s="53" t="s">
        <v>29</v>
      </c>
      <c r="L74" s="53">
        <v>1</v>
      </c>
      <c r="M74" s="53"/>
      <c r="N74" s="53"/>
      <c r="O74" s="55">
        <v>8.2799999999999994</v>
      </c>
      <c r="P74" s="55">
        <v>8.24</v>
      </c>
      <c r="Q74" s="55">
        <f t="shared" si="2"/>
        <v>-3.9999999999999147E-2</v>
      </c>
      <c r="R74" s="55"/>
      <c r="S74" s="55" t="str">
        <f t="shared" si="1"/>
        <v/>
      </c>
      <c r="T74" s="12"/>
      <c r="U74" s="12"/>
      <c r="V74" s="12"/>
      <c r="W74" s="12"/>
      <c r="X74" s="53"/>
      <c r="Y74" s="53"/>
      <c r="Z74" s="54">
        <v>1</v>
      </c>
      <c r="AA74" s="54" t="s">
        <v>30</v>
      </c>
      <c r="AB74" s="56"/>
      <c r="AC74" s="53"/>
      <c r="AD74" s="59"/>
    </row>
    <row r="75" spans="1:30" s="57" customFormat="1" ht="21.75" customHeight="1">
      <c r="A75" s="53">
        <v>57</v>
      </c>
      <c r="B75" s="53">
        <v>3</v>
      </c>
      <c r="C75" s="53">
        <v>9</v>
      </c>
      <c r="D75" s="53">
        <v>3</v>
      </c>
      <c r="E75" s="58"/>
      <c r="F75" s="58"/>
      <c r="G75" s="53" t="s">
        <v>35</v>
      </c>
      <c r="H75" s="53">
        <v>2</v>
      </c>
      <c r="I75" s="53">
        <v>8981</v>
      </c>
      <c r="J75" s="53">
        <v>10</v>
      </c>
      <c r="K75" s="53" t="s">
        <v>29</v>
      </c>
      <c r="L75" s="53">
        <v>1</v>
      </c>
      <c r="M75" s="53"/>
      <c r="N75" s="53"/>
      <c r="O75" s="55">
        <v>8.3000000000000007</v>
      </c>
      <c r="P75" s="55">
        <v>8.2799999999999994</v>
      </c>
      <c r="Q75" s="55">
        <f t="shared" si="2"/>
        <v>-2.000000000000135E-2</v>
      </c>
      <c r="R75" s="55"/>
      <c r="S75" s="55" t="str">
        <f t="shared" si="1"/>
        <v/>
      </c>
      <c r="T75" s="12"/>
      <c r="U75" s="12"/>
      <c r="V75" s="12"/>
      <c r="W75" s="12"/>
      <c r="X75" s="53"/>
      <c r="Y75" s="53"/>
      <c r="Z75" s="54">
        <v>1</v>
      </c>
      <c r="AA75" s="54"/>
      <c r="AB75" s="56"/>
      <c r="AC75" s="53"/>
      <c r="AD75" s="59"/>
    </row>
    <row r="76" spans="1:30" s="57" customFormat="1" ht="20.25">
      <c r="A76" s="53">
        <v>58</v>
      </c>
      <c r="B76" s="53">
        <v>3</v>
      </c>
      <c r="C76" s="53">
        <v>9</v>
      </c>
      <c r="D76" s="53">
        <v>3</v>
      </c>
      <c r="E76" s="58"/>
      <c r="F76" s="58"/>
      <c r="G76" s="53" t="s">
        <v>35</v>
      </c>
      <c r="H76" s="53">
        <v>2</v>
      </c>
      <c r="I76" s="53">
        <v>8982</v>
      </c>
      <c r="J76" s="53">
        <v>1</v>
      </c>
      <c r="K76" s="53" t="s">
        <v>29</v>
      </c>
      <c r="L76" s="53">
        <v>1</v>
      </c>
      <c r="M76" s="53"/>
      <c r="N76" s="53"/>
      <c r="O76" s="55">
        <v>8.16</v>
      </c>
      <c r="P76" s="55">
        <v>8.14</v>
      </c>
      <c r="Q76" s="55">
        <f t="shared" si="2"/>
        <v>-1.9999999999999574E-2</v>
      </c>
      <c r="R76" s="55"/>
      <c r="S76" s="55" t="str">
        <f t="shared" si="1"/>
        <v/>
      </c>
      <c r="T76" s="12"/>
      <c r="U76" s="12"/>
      <c r="V76" s="12"/>
      <c r="W76" s="12"/>
      <c r="X76" s="53"/>
      <c r="Y76" s="53"/>
      <c r="Z76" s="54">
        <v>1</v>
      </c>
      <c r="AA76" s="54" t="s">
        <v>30</v>
      </c>
      <c r="AB76" s="56"/>
      <c r="AC76" s="53"/>
      <c r="AD76" s="59"/>
    </row>
    <row r="77" spans="1:30" s="57" customFormat="1" ht="20.25">
      <c r="A77" s="53">
        <v>59</v>
      </c>
      <c r="B77" s="53">
        <v>3</v>
      </c>
      <c r="C77" s="53">
        <v>9</v>
      </c>
      <c r="D77" s="53">
        <v>3</v>
      </c>
      <c r="E77" s="58"/>
      <c r="F77" s="58"/>
      <c r="G77" s="53" t="s">
        <v>35</v>
      </c>
      <c r="H77" s="53">
        <v>2</v>
      </c>
      <c r="I77" s="53">
        <v>8982</v>
      </c>
      <c r="J77" s="53">
        <v>8</v>
      </c>
      <c r="K77" s="53" t="s">
        <v>31</v>
      </c>
      <c r="L77" s="53">
        <v>1</v>
      </c>
      <c r="M77" s="53"/>
      <c r="N77" s="53"/>
      <c r="O77" s="55">
        <v>8.34</v>
      </c>
      <c r="P77" s="55">
        <v>8.3000000000000007</v>
      </c>
      <c r="Q77" s="55">
        <f t="shared" si="2"/>
        <v>-3.9999999999999147E-2</v>
      </c>
      <c r="R77" s="55"/>
      <c r="S77" s="55" t="str">
        <f t="shared" si="1"/>
        <v/>
      </c>
      <c r="T77" s="12"/>
      <c r="U77" s="12"/>
      <c r="V77" s="12"/>
      <c r="W77" s="12"/>
      <c r="X77" s="53"/>
      <c r="Y77" s="53"/>
      <c r="Z77" s="54">
        <v>1</v>
      </c>
      <c r="AA77" s="54" t="s">
        <v>30</v>
      </c>
      <c r="AB77" s="56"/>
      <c r="AC77" s="53"/>
      <c r="AD77" s="59"/>
    </row>
    <row r="78" spans="1:30" s="57" customFormat="1" ht="20.25">
      <c r="A78" s="53">
        <v>60</v>
      </c>
      <c r="B78" s="53">
        <v>3</v>
      </c>
      <c r="C78" s="53">
        <v>9</v>
      </c>
      <c r="D78" s="53">
        <v>3</v>
      </c>
      <c r="E78" s="58"/>
      <c r="F78" s="58"/>
      <c r="G78" s="53" t="s">
        <v>35</v>
      </c>
      <c r="H78" s="53">
        <v>2</v>
      </c>
      <c r="I78" s="53">
        <v>8982</v>
      </c>
      <c r="J78" s="53">
        <v>8</v>
      </c>
      <c r="K78" s="53" t="s">
        <v>29</v>
      </c>
      <c r="L78" s="53">
        <v>1</v>
      </c>
      <c r="M78" s="53"/>
      <c r="N78" s="53"/>
      <c r="O78" s="55">
        <v>10.49</v>
      </c>
      <c r="P78" s="55">
        <v>10.45</v>
      </c>
      <c r="Q78" s="55">
        <f t="shared" si="2"/>
        <v>-4.0000000000000924E-2</v>
      </c>
      <c r="R78" s="55"/>
      <c r="S78" s="55" t="str">
        <f t="shared" si="1"/>
        <v/>
      </c>
      <c r="T78" s="12"/>
      <c r="U78" s="12"/>
      <c r="V78" s="12"/>
      <c r="W78" s="12"/>
      <c r="X78" s="53"/>
      <c r="Y78" s="53"/>
      <c r="Z78" s="54">
        <v>1</v>
      </c>
      <c r="AA78" s="54"/>
      <c r="AB78" s="56"/>
      <c r="AC78" s="53"/>
      <c r="AD78" s="59"/>
    </row>
    <row r="79" spans="1:30" s="57" customFormat="1" ht="20.25">
      <c r="A79" s="53">
        <v>61</v>
      </c>
      <c r="B79" s="53">
        <v>3</v>
      </c>
      <c r="C79" s="53">
        <v>9</v>
      </c>
      <c r="D79" s="53">
        <v>3</v>
      </c>
      <c r="E79" s="58"/>
      <c r="F79" s="58"/>
      <c r="G79" s="53" t="s">
        <v>35</v>
      </c>
      <c r="H79" s="53">
        <v>2</v>
      </c>
      <c r="I79" s="53">
        <v>8983</v>
      </c>
      <c r="J79" s="53">
        <v>1</v>
      </c>
      <c r="K79" s="53" t="s">
        <v>31</v>
      </c>
      <c r="L79" s="53">
        <v>1</v>
      </c>
      <c r="M79" s="53"/>
      <c r="N79" s="53"/>
      <c r="O79" s="55">
        <v>9.2899999999999991</v>
      </c>
      <c r="P79" s="55">
        <v>9.25</v>
      </c>
      <c r="Q79" s="55">
        <f t="shared" si="2"/>
        <v>-3.9999999999999147E-2</v>
      </c>
      <c r="R79" s="55"/>
      <c r="S79" s="55" t="str">
        <f t="shared" si="1"/>
        <v/>
      </c>
      <c r="T79" s="12"/>
      <c r="U79" s="12"/>
      <c r="V79" s="12"/>
      <c r="W79" s="12"/>
      <c r="X79" s="53"/>
      <c r="Y79" s="53"/>
      <c r="Z79" s="54">
        <v>1</v>
      </c>
      <c r="AA79" s="54" t="s">
        <v>30</v>
      </c>
      <c r="AB79" s="56"/>
      <c r="AC79" s="53"/>
      <c r="AD79" s="59"/>
    </row>
    <row r="80" spans="1:30" s="57" customFormat="1" ht="20.25">
      <c r="A80" s="53">
        <v>62</v>
      </c>
      <c r="B80" s="53">
        <v>3</v>
      </c>
      <c r="C80" s="53">
        <v>9</v>
      </c>
      <c r="D80" s="53">
        <v>3</v>
      </c>
      <c r="E80" s="58"/>
      <c r="F80" s="58"/>
      <c r="G80" s="53" t="s">
        <v>35</v>
      </c>
      <c r="H80" s="53">
        <v>2</v>
      </c>
      <c r="I80" s="53">
        <v>8983</v>
      </c>
      <c r="J80" s="53">
        <v>1</v>
      </c>
      <c r="K80" s="53" t="s">
        <v>29</v>
      </c>
      <c r="L80" s="53">
        <v>1</v>
      </c>
      <c r="M80" s="53">
        <v>1</v>
      </c>
      <c r="N80" s="53"/>
      <c r="O80" s="55">
        <v>8.57</v>
      </c>
      <c r="P80" s="55">
        <v>8.5399999999999991</v>
      </c>
      <c r="Q80" s="55">
        <f t="shared" si="2"/>
        <v>-3.0000000000001137E-2</v>
      </c>
      <c r="R80" s="55"/>
      <c r="S80" s="55" t="str">
        <f t="shared" si="1"/>
        <v/>
      </c>
      <c r="T80" s="12"/>
      <c r="U80" s="12"/>
      <c r="V80" s="12"/>
      <c r="W80" s="12"/>
      <c r="X80" s="53"/>
      <c r="Y80" s="53"/>
      <c r="Z80" s="54">
        <v>1</v>
      </c>
      <c r="AA80" s="54"/>
      <c r="AB80" s="56"/>
      <c r="AC80" s="53"/>
      <c r="AD80" s="59"/>
    </row>
    <row r="81" spans="1:30" s="57" customFormat="1" ht="20.25">
      <c r="A81" s="53">
        <v>63</v>
      </c>
      <c r="B81" s="53">
        <v>3</v>
      </c>
      <c r="C81" s="53">
        <v>9</v>
      </c>
      <c r="D81" s="53">
        <v>3</v>
      </c>
      <c r="E81" s="58"/>
      <c r="F81" s="58"/>
      <c r="G81" s="53" t="s">
        <v>35</v>
      </c>
      <c r="H81" s="53">
        <v>2</v>
      </c>
      <c r="I81" s="53">
        <v>8983</v>
      </c>
      <c r="J81" s="53">
        <v>6</v>
      </c>
      <c r="K81" s="53" t="s">
        <v>29</v>
      </c>
      <c r="L81" s="53">
        <v>1</v>
      </c>
      <c r="M81" s="53"/>
      <c r="N81" s="53"/>
      <c r="O81" s="55">
        <v>8.1</v>
      </c>
      <c r="P81" s="55">
        <v>8.06</v>
      </c>
      <c r="Q81" s="55">
        <f t="shared" si="2"/>
        <v>-3.9999999999999147E-2</v>
      </c>
      <c r="R81" s="55"/>
      <c r="S81" s="55" t="str">
        <f t="shared" si="1"/>
        <v/>
      </c>
      <c r="T81" s="12"/>
      <c r="U81" s="12"/>
      <c r="V81" s="12"/>
      <c r="W81" s="12"/>
      <c r="X81" s="53"/>
      <c r="Y81" s="53"/>
      <c r="Z81" s="54">
        <v>1</v>
      </c>
      <c r="AA81" s="54"/>
      <c r="AB81" s="56"/>
      <c r="AC81" s="53"/>
      <c r="AD81" s="59"/>
    </row>
    <row r="82" spans="1:30" s="57" customFormat="1" ht="20.25">
      <c r="A82" s="53">
        <v>64</v>
      </c>
      <c r="B82" s="53">
        <v>3</v>
      </c>
      <c r="C82" s="53">
        <v>9</v>
      </c>
      <c r="D82" s="53">
        <v>3</v>
      </c>
      <c r="E82" s="58"/>
      <c r="F82" s="58"/>
      <c r="G82" s="53" t="s">
        <v>35</v>
      </c>
      <c r="H82" s="53">
        <v>2</v>
      </c>
      <c r="I82" s="53">
        <v>8984</v>
      </c>
      <c r="J82" s="53">
        <v>2</v>
      </c>
      <c r="K82" s="53" t="s">
        <v>29</v>
      </c>
      <c r="L82" s="53">
        <v>1</v>
      </c>
      <c r="M82" s="53"/>
      <c r="N82" s="53"/>
      <c r="O82" s="55">
        <v>8.06</v>
      </c>
      <c r="P82" s="55">
        <v>8.0399999999999991</v>
      </c>
      <c r="Q82" s="55">
        <f t="shared" ref="Q82:Q114" si="3">P82-O82</f>
        <v>-2.000000000000135E-2</v>
      </c>
      <c r="R82" s="55"/>
      <c r="S82" s="55" t="str">
        <f t="shared" si="1"/>
        <v/>
      </c>
      <c r="T82" s="12"/>
      <c r="U82" s="12"/>
      <c r="V82" s="12"/>
      <c r="W82" s="12"/>
      <c r="X82" s="53"/>
      <c r="Y82" s="53"/>
      <c r="Z82" s="54">
        <v>1</v>
      </c>
      <c r="AA82" s="54"/>
      <c r="AB82" s="56"/>
      <c r="AC82" s="53"/>
      <c r="AD82" s="59"/>
    </row>
    <row r="83" spans="1:30" s="57" customFormat="1" ht="20.25">
      <c r="A83" s="53">
        <v>65</v>
      </c>
      <c r="B83" s="53">
        <v>3</v>
      </c>
      <c r="C83" s="53">
        <v>9</v>
      </c>
      <c r="D83" s="53">
        <v>3</v>
      </c>
      <c r="E83" s="58"/>
      <c r="F83" s="58"/>
      <c r="G83" s="53" t="s">
        <v>35</v>
      </c>
      <c r="H83" s="53">
        <v>2</v>
      </c>
      <c r="I83" s="53">
        <v>8984</v>
      </c>
      <c r="J83" s="53">
        <v>5</v>
      </c>
      <c r="K83" s="53" t="s">
        <v>29</v>
      </c>
      <c r="L83" s="53">
        <v>1</v>
      </c>
      <c r="M83" s="53"/>
      <c r="N83" s="53"/>
      <c r="O83" s="55">
        <v>8.0399999999999991</v>
      </c>
      <c r="P83" s="55">
        <v>8.01</v>
      </c>
      <c r="Q83" s="55">
        <f t="shared" si="3"/>
        <v>-2.9999999999999361E-2</v>
      </c>
      <c r="R83" s="55"/>
      <c r="S83" s="55" t="str">
        <f t="shared" si="1"/>
        <v/>
      </c>
      <c r="T83" s="12"/>
      <c r="U83" s="12"/>
      <c r="V83" s="12"/>
      <c r="W83" s="12"/>
      <c r="X83" s="53"/>
      <c r="Y83" s="53"/>
      <c r="Z83" s="54">
        <v>1</v>
      </c>
      <c r="AA83" s="54"/>
      <c r="AB83" s="56"/>
      <c r="AC83" s="53"/>
      <c r="AD83" s="59"/>
    </row>
    <row r="84" spans="1:30" s="57" customFormat="1" ht="20.25">
      <c r="A84" s="53">
        <v>66</v>
      </c>
      <c r="B84" s="53">
        <v>3</v>
      </c>
      <c r="C84" s="53">
        <v>9</v>
      </c>
      <c r="D84" s="53">
        <v>3</v>
      </c>
      <c r="E84" s="58"/>
      <c r="F84" s="58"/>
      <c r="G84" s="53" t="s">
        <v>35</v>
      </c>
      <c r="H84" s="53">
        <v>2</v>
      </c>
      <c r="I84" s="53">
        <v>8985</v>
      </c>
      <c r="J84" s="53">
        <v>3</v>
      </c>
      <c r="K84" s="53" t="s">
        <v>31</v>
      </c>
      <c r="L84" s="53">
        <v>1</v>
      </c>
      <c r="M84" s="53"/>
      <c r="N84" s="53"/>
      <c r="O84" s="55">
        <v>8.06</v>
      </c>
      <c r="P84" s="55">
        <v>8.02</v>
      </c>
      <c r="Q84" s="55">
        <f t="shared" si="3"/>
        <v>-4.0000000000000924E-2</v>
      </c>
      <c r="R84" s="55"/>
      <c r="S84" s="55" t="str">
        <f t="shared" ref="S84:S143" si="4">IF(R84&gt;0,R84-P84,"")</f>
        <v/>
      </c>
      <c r="T84" s="12"/>
      <c r="U84" s="12"/>
      <c r="V84" s="12"/>
      <c r="W84" s="12"/>
      <c r="X84" s="53"/>
      <c r="Y84" s="53"/>
      <c r="Z84" s="54">
        <v>1</v>
      </c>
      <c r="AA84" s="54"/>
      <c r="AB84" s="56"/>
      <c r="AC84" s="53"/>
      <c r="AD84" s="59"/>
    </row>
    <row r="85" spans="1:30" s="57" customFormat="1" ht="20.25">
      <c r="A85" s="53">
        <v>67</v>
      </c>
      <c r="B85" s="53">
        <v>3</v>
      </c>
      <c r="C85" s="53">
        <v>9</v>
      </c>
      <c r="D85" s="53">
        <v>3</v>
      </c>
      <c r="E85" s="58"/>
      <c r="F85" s="58"/>
      <c r="G85" s="53" t="s">
        <v>35</v>
      </c>
      <c r="H85" s="53">
        <v>2</v>
      </c>
      <c r="I85" s="53">
        <v>8985</v>
      </c>
      <c r="J85" s="53">
        <v>7</v>
      </c>
      <c r="K85" s="53" t="s">
        <v>29</v>
      </c>
      <c r="L85" s="53">
        <v>1</v>
      </c>
      <c r="M85" s="53"/>
      <c r="N85" s="53"/>
      <c r="O85" s="55">
        <v>9.5500000000000007</v>
      </c>
      <c r="P85" s="55">
        <v>9.52</v>
      </c>
      <c r="Q85" s="55" t="s">
        <v>65</v>
      </c>
      <c r="R85" s="55"/>
      <c r="S85" s="55" t="str">
        <f t="shared" si="4"/>
        <v/>
      </c>
      <c r="T85" s="12"/>
      <c r="U85" s="12"/>
      <c r="V85" s="12"/>
      <c r="W85" s="12"/>
      <c r="X85" s="53"/>
      <c r="Y85" s="53"/>
      <c r="Z85" s="54">
        <v>1</v>
      </c>
      <c r="AA85" s="54"/>
      <c r="AB85" s="56"/>
      <c r="AC85" s="53"/>
      <c r="AD85" s="59"/>
    </row>
    <row r="86" spans="1:30" s="57" customFormat="1" ht="20.25">
      <c r="A86" s="53">
        <v>68</v>
      </c>
      <c r="B86" s="53">
        <v>3</v>
      </c>
      <c r="C86" s="53">
        <v>9</v>
      </c>
      <c r="D86" s="53">
        <v>3</v>
      </c>
      <c r="E86" s="58"/>
      <c r="F86" s="58"/>
      <c r="G86" s="53" t="s">
        <v>35</v>
      </c>
      <c r="H86" s="53">
        <v>2</v>
      </c>
      <c r="I86" s="53">
        <v>8986</v>
      </c>
      <c r="J86" s="53">
        <v>2</v>
      </c>
      <c r="K86" s="53" t="s">
        <v>29</v>
      </c>
      <c r="L86" s="53">
        <v>1</v>
      </c>
      <c r="M86" s="53"/>
      <c r="N86" s="53"/>
      <c r="O86" s="55">
        <v>8.73</v>
      </c>
      <c r="P86" s="55">
        <v>8.7100000000000009</v>
      </c>
      <c r="Q86" s="55">
        <f t="shared" si="3"/>
        <v>-1.9999999999999574E-2</v>
      </c>
      <c r="R86" s="55"/>
      <c r="S86" s="55" t="str">
        <f t="shared" si="4"/>
        <v/>
      </c>
      <c r="T86" s="12"/>
      <c r="U86" s="12"/>
      <c r="V86" s="12"/>
      <c r="W86" s="12"/>
      <c r="X86" s="53"/>
      <c r="Y86" s="53"/>
      <c r="Z86" s="54">
        <v>1</v>
      </c>
      <c r="AA86" s="54"/>
      <c r="AB86" s="56"/>
      <c r="AC86" s="53"/>
      <c r="AD86" s="59"/>
    </row>
    <row r="87" spans="1:30" s="57" customFormat="1" ht="20.25">
      <c r="A87" s="53">
        <v>69</v>
      </c>
      <c r="B87" s="53">
        <v>3</v>
      </c>
      <c r="C87" s="53">
        <v>9</v>
      </c>
      <c r="D87" s="53">
        <v>3</v>
      </c>
      <c r="E87" s="58"/>
      <c r="F87" s="58"/>
      <c r="G87" s="53" t="s">
        <v>35</v>
      </c>
      <c r="H87" s="53">
        <v>2</v>
      </c>
      <c r="I87" s="53">
        <v>8986</v>
      </c>
      <c r="J87" s="53">
        <v>4</v>
      </c>
      <c r="K87" s="53" t="s">
        <v>29</v>
      </c>
      <c r="L87" s="53">
        <v>1</v>
      </c>
      <c r="M87" s="53"/>
      <c r="N87" s="53"/>
      <c r="O87" s="55">
        <v>8.69</v>
      </c>
      <c r="P87" s="55">
        <v>8.65</v>
      </c>
      <c r="Q87" s="55">
        <f t="shared" si="3"/>
        <v>-3.9999999999999147E-2</v>
      </c>
      <c r="R87" s="55"/>
      <c r="S87" s="55" t="str">
        <f t="shared" si="4"/>
        <v/>
      </c>
      <c r="T87" s="12"/>
      <c r="U87" s="12"/>
      <c r="V87" s="12"/>
      <c r="W87" s="12"/>
      <c r="X87" s="53"/>
      <c r="Y87" s="53"/>
      <c r="Z87" s="54">
        <v>1</v>
      </c>
      <c r="AA87" s="54"/>
      <c r="AB87" s="56"/>
      <c r="AC87" s="53"/>
      <c r="AD87" s="59"/>
    </row>
    <row r="88" spans="1:30" s="57" customFormat="1" ht="20.25">
      <c r="A88" s="53">
        <v>70</v>
      </c>
      <c r="B88" s="53">
        <v>3</v>
      </c>
      <c r="C88" s="53">
        <v>9</v>
      </c>
      <c r="D88" s="53">
        <v>3</v>
      </c>
      <c r="E88" s="58"/>
      <c r="F88" s="58"/>
      <c r="G88" s="53" t="s">
        <v>35</v>
      </c>
      <c r="H88" s="53">
        <v>2</v>
      </c>
      <c r="I88" s="53">
        <v>8986</v>
      </c>
      <c r="J88" s="53">
        <v>7</v>
      </c>
      <c r="K88" s="53" t="s">
        <v>29</v>
      </c>
      <c r="L88" s="53">
        <v>1</v>
      </c>
      <c r="M88" s="53"/>
      <c r="N88" s="53"/>
      <c r="O88" s="55">
        <v>8.5</v>
      </c>
      <c r="P88" s="55">
        <v>8.4700000000000006</v>
      </c>
      <c r="Q88" s="55">
        <f t="shared" si="3"/>
        <v>-2.9999999999999361E-2</v>
      </c>
      <c r="R88" s="55"/>
      <c r="S88" s="55" t="str">
        <f t="shared" si="4"/>
        <v/>
      </c>
      <c r="T88" s="12"/>
      <c r="U88" s="12"/>
      <c r="V88" s="12"/>
      <c r="W88" s="12"/>
      <c r="X88" s="53"/>
      <c r="Y88" s="53"/>
      <c r="Z88" s="54">
        <v>1</v>
      </c>
      <c r="AA88" s="54"/>
      <c r="AB88" s="56"/>
      <c r="AC88" s="53"/>
      <c r="AD88" s="59"/>
    </row>
    <row r="89" spans="1:30" s="57" customFormat="1" ht="20.25">
      <c r="A89" s="53">
        <v>71</v>
      </c>
      <c r="B89" s="53">
        <v>3</v>
      </c>
      <c r="C89" s="53">
        <v>9</v>
      </c>
      <c r="D89" s="53">
        <v>3</v>
      </c>
      <c r="E89" s="58"/>
      <c r="F89" s="58"/>
      <c r="G89" s="53" t="s">
        <v>35</v>
      </c>
      <c r="H89" s="53">
        <v>2</v>
      </c>
      <c r="I89" s="53">
        <v>8986</v>
      </c>
      <c r="J89" s="53">
        <v>9</v>
      </c>
      <c r="K89" s="53" t="s">
        <v>29</v>
      </c>
      <c r="L89" s="53">
        <v>1</v>
      </c>
      <c r="M89" s="53"/>
      <c r="N89" s="53"/>
      <c r="O89" s="55">
        <v>8.14</v>
      </c>
      <c r="P89" s="55">
        <v>8.1</v>
      </c>
      <c r="Q89" s="55">
        <f t="shared" si="3"/>
        <v>-4.0000000000000924E-2</v>
      </c>
      <c r="R89" s="55"/>
      <c r="S89" s="55" t="str">
        <f t="shared" si="4"/>
        <v/>
      </c>
      <c r="T89" s="12"/>
      <c r="U89" s="12"/>
      <c r="V89" s="12"/>
      <c r="W89" s="12"/>
      <c r="X89" s="53"/>
      <c r="Y89" s="53"/>
      <c r="Z89" s="54">
        <v>1</v>
      </c>
      <c r="AA89" s="54" t="s">
        <v>30</v>
      </c>
      <c r="AB89" s="56"/>
      <c r="AC89" s="53"/>
      <c r="AD89" s="59"/>
    </row>
    <row r="90" spans="1:30" s="57" customFormat="1" ht="20.25">
      <c r="A90" s="53">
        <v>72</v>
      </c>
      <c r="B90" s="53">
        <v>3</v>
      </c>
      <c r="C90" s="53">
        <v>9</v>
      </c>
      <c r="D90" s="53">
        <v>3</v>
      </c>
      <c r="E90" s="58"/>
      <c r="F90" s="58"/>
      <c r="G90" s="53" t="s">
        <v>35</v>
      </c>
      <c r="H90" s="53">
        <v>2</v>
      </c>
      <c r="I90" s="53">
        <v>8987</v>
      </c>
      <c r="J90" s="53">
        <v>4</v>
      </c>
      <c r="K90" s="53" t="s">
        <v>29</v>
      </c>
      <c r="L90" s="53">
        <v>1</v>
      </c>
      <c r="M90" s="53"/>
      <c r="N90" s="53"/>
      <c r="O90" s="55">
        <v>8.6999999999999993</v>
      </c>
      <c r="P90" s="55">
        <v>8.67</v>
      </c>
      <c r="Q90" s="55">
        <f t="shared" si="3"/>
        <v>-2.9999999999999361E-2</v>
      </c>
      <c r="R90" s="55"/>
      <c r="S90" s="55" t="str">
        <f t="shared" si="4"/>
        <v/>
      </c>
      <c r="T90" s="12"/>
      <c r="U90" s="12"/>
      <c r="V90" s="12"/>
      <c r="W90" s="12"/>
      <c r="X90" s="53"/>
      <c r="Y90" s="53"/>
      <c r="Z90" s="54">
        <v>1</v>
      </c>
      <c r="AA90" s="54"/>
      <c r="AB90" s="56"/>
      <c r="AC90" s="53"/>
      <c r="AD90" s="59"/>
    </row>
    <row r="91" spans="1:30" s="57" customFormat="1" ht="20.25">
      <c r="A91" s="53">
        <v>73</v>
      </c>
      <c r="B91" s="53">
        <v>3</v>
      </c>
      <c r="C91" s="53">
        <v>9</v>
      </c>
      <c r="D91" s="53">
        <v>3</v>
      </c>
      <c r="E91" s="58"/>
      <c r="F91" s="58"/>
      <c r="G91" s="53" t="s">
        <v>35</v>
      </c>
      <c r="H91" s="53">
        <v>2</v>
      </c>
      <c r="I91" s="53">
        <v>8987</v>
      </c>
      <c r="J91" s="53">
        <v>6</v>
      </c>
      <c r="K91" s="53" t="s">
        <v>29</v>
      </c>
      <c r="L91" s="53">
        <v>1</v>
      </c>
      <c r="M91" s="53"/>
      <c r="N91" s="53"/>
      <c r="O91" s="55">
        <v>9.8800000000000008</v>
      </c>
      <c r="P91" s="55">
        <v>9.85</v>
      </c>
      <c r="Q91" s="55">
        <f t="shared" si="3"/>
        <v>-3.0000000000001137E-2</v>
      </c>
      <c r="R91" s="55"/>
      <c r="S91" s="55" t="str">
        <f t="shared" si="4"/>
        <v/>
      </c>
      <c r="T91" s="12"/>
      <c r="U91" s="12"/>
      <c r="V91" s="12"/>
      <c r="W91" s="12"/>
      <c r="X91" s="53"/>
      <c r="Y91" s="53"/>
      <c r="Z91" s="54">
        <v>1</v>
      </c>
      <c r="AA91" s="54"/>
      <c r="AB91" s="56"/>
      <c r="AC91" s="53"/>
      <c r="AD91" s="59"/>
    </row>
    <row r="92" spans="1:30" s="57" customFormat="1" ht="20.25">
      <c r="A92" s="53">
        <v>74</v>
      </c>
      <c r="B92" s="53">
        <v>3</v>
      </c>
      <c r="C92" s="53">
        <v>9</v>
      </c>
      <c r="D92" s="53">
        <v>3</v>
      </c>
      <c r="E92" s="58"/>
      <c r="F92" s="58"/>
      <c r="G92" s="53" t="s">
        <v>35</v>
      </c>
      <c r="H92" s="53">
        <v>1</v>
      </c>
      <c r="I92" s="53">
        <v>8987</v>
      </c>
      <c r="J92" s="53">
        <v>7</v>
      </c>
      <c r="K92" s="53" t="s">
        <v>29</v>
      </c>
      <c r="L92" s="53">
        <v>1</v>
      </c>
      <c r="M92" s="53"/>
      <c r="N92" s="53"/>
      <c r="O92" s="55">
        <v>8.1300000000000008</v>
      </c>
      <c r="P92" s="55">
        <v>8.1</v>
      </c>
      <c r="Q92" s="55">
        <f t="shared" si="3"/>
        <v>-3.0000000000001137E-2</v>
      </c>
      <c r="R92" s="55"/>
      <c r="S92" s="55" t="str">
        <f t="shared" si="4"/>
        <v/>
      </c>
      <c r="T92" s="12"/>
      <c r="U92" s="12"/>
      <c r="V92" s="12"/>
      <c r="W92" s="12"/>
      <c r="X92" s="53"/>
      <c r="Y92" s="53"/>
      <c r="Z92" s="54">
        <v>1</v>
      </c>
      <c r="AA92" s="54"/>
      <c r="AB92" s="56"/>
      <c r="AC92" s="53"/>
      <c r="AD92" s="59"/>
    </row>
    <row r="93" spans="1:30" s="57" customFormat="1" ht="20.25">
      <c r="A93" s="53">
        <v>75</v>
      </c>
      <c r="B93" s="53">
        <v>3</v>
      </c>
      <c r="C93" s="53">
        <v>9</v>
      </c>
      <c r="D93" s="53">
        <v>3</v>
      </c>
      <c r="E93" s="58"/>
      <c r="F93" s="58"/>
      <c r="G93" s="53" t="s">
        <v>35</v>
      </c>
      <c r="H93" s="53">
        <v>2</v>
      </c>
      <c r="I93" s="53">
        <v>8987</v>
      </c>
      <c r="J93" s="53">
        <v>8</v>
      </c>
      <c r="K93" s="53" t="s">
        <v>31</v>
      </c>
      <c r="L93" s="53">
        <v>1</v>
      </c>
      <c r="M93" s="53"/>
      <c r="N93" s="53"/>
      <c r="O93" s="55">
        <v>8.14</v>
      </c>
      <c r="P93" s="55">
        <v>8.11</v>
      </c>
      <c r="Q93" s="55">
        <f t="shared" si="3"/>
        <v>-3.0000000000001137E-2</v>
      </c>
      <c r="R93" s="55"/>
      <c r="S93" s="55" t="str">
        <f t="shared" si="4"/>
        <v/>
      </c>
      <c r="T93" s="12"/>
      <c r="U93" s="12"/>
      <c r="V93" s="12"/>
      <c r="W93" s="12"/>
      <c r="X93" s="53"/>
      <c r="Y93" s="53"/>
      <c r="Z93" s="54">
        <v>1</v>
      </c>
      <c r="AA93" s="54"/>
      <c r="AB93" s="56"/>
      <c r="AC93" s="53"/>
      <c r="AD93" s="59"/>
    </row>
    <row r="94" spans="1:30" s="57" customFormat="1" ht="20.25">
      <c r="A94" s="53">
        <v>76</v>
      </c>
      <c r="B94" s="53">
        <v>3</v>
      </c>
      <c r="C94" s="53">
        <v>9</v>
      </c>
      <c r="D94" s="53">
        <v>3</v>
      </c>
      <c r="E94" s="58"/>
      <c r="F94" s="58"/>
      <c r="G94" s="53" t="s">
        <v>35</v>
      </c>
      <c r="H94" s="53">
        <v>2</v>
      </c>
      <c r="I94" s="53">
        <v>8987</v>
      </c>
      <c r="J94" s="53">
        <v>8</v>
      </c>
      <c r="K94" s="53" t="s">
        <v>29</v>
      </c>
      <c r="L94" s="53">
        <v>1</v>
      </c>
      <c r="M94" s="53"/>
      <c r="N94" s="53"/>
      <c r="O94" s="55">
        <v>10.92</v>
      </c>
      <c r="P94" s="55">
        <v>10.88</v>
      </c>
      <c r="Q94" s="55">
        <f t="shared" si="3"/>
        <v>-3.9999999999999147E-2</v>
      </c>
      <c r="R94" s="55"/>
      <c r="S94" s="55" t="str">
        <f t="shared" si="4"/>
        <v/>
      </c>
      <c r="T94" s="12"/>
      <c r="U94" s="12"/>
      <c r="V94" s="12"/>
      <c r="W94" s="12"/>
      <c r="X94" s="53"/>
      <c r="Y94" s="53"/>
      <c r="Z94" s="54">
        <v>1</v>
      </c>
      <c r="AA94" s="54"/>
      <c r="AB94" s="56"/>
      <c r="AC94" s="53"/>
      <c r="AD94" s="59"/>
    </row>
    <row r="95" spans="1:30" s="57" customFormat="1" ht="20.25">
      <c r="A95" s="53">
        <v>77</v>
      </c>
      <c r="B95" s="53">
        <v>3</v>
      </c>
      <c r="C95" s="53">
        <v>9</v>
      </c>
      <c r="D95" s="53">
        <v>3</v>
      </c>
      <c r="E95" s="58"/>
      <c r="F95" s="58"/>
      <c r="G95" s="53" t="s">
        <v>35</v>
      </c>
      <c r="H95" s="53">
        <v>2</v>
      </c>
      <c r="I95" s="53">
        <v>8987</v>
      </c>
      <c r="J95" s="53">
        <v>9</v>
      </c>
      <c r="K95" s="53" t="s">
        <v>29</v>
      </c>
      <c r="L95" s="53">
        <v>1</v>
      </c>
      <c r="M95" s="53"/>
      <c r="N95" s="53"/>
      <c r="O95" s="55">
        <v>8.0299999999999994</v>
      </c>
      <c r="P95" s="55">
        <v>8</v>
      </c>
      <c r="Q95" s="55">
        <f t="shared" si="3"/>
        <v>-2.9999999999999361E-2</v>
      </c>
      <c r="R95" s="55"/>
      <c r="S95" s="55" t="str">
        <f t="shared" si="4"/>
        <v/>
      </c>
      <c r="T95" s="13"/>
      <c r="U95" s="13"/>
      <c r="V95" s="12"/>
      <c r="W95" s="12"/>
      <c r="X95" s="53"/>
      <c r="Y95" s="53"/>
      <c r="Z95" s="54">
        <v>1</v>
      </c>
      <c r="AA95" s="54" t="s">
        <v>30</v>
      </c>
      <c r="AB95" s="56"/>
      <c r="AC95" s="53"/>
      <c r="AD95" s="59"/>
    </row>
    <row r="96" spans="1:30" s="57" customFormat="1" ht="20.25">
      <c r="A96" s="53">
        <v>78</v>
      </c>
      <c r="B96" s="53">
        <v>3</v>
      </c>
      <c r="C96" s="53">
        <v>9</v>
      </c>
      <c r="D96" s="53">
        <v>3</v>
      </c>
      <c r="E96" s="58"/>
      <c r="F96" s="58"/>
      <c r="G96" s="53" t="s">
        <v>35</v>
      </c>
      <c r="H96" s="53">
        <v>1</v>
      </c>
      <c r="I96" s="53">
        <v>8988</v>
      </c>
      <c r="J96" s="53">
        <v>1</v>
      </c>
      <c r="K96" s="53" t="s">
        <v>31</v>
      </c>
      <c r="L96" s="53">
        <v>1</v>
      </c>
      <c r="M96" s="53"/>
      <c r="N96" s="53"/>
      <c r="O96" s="55">
        <v>11.55</v>
      </c>
      <c r="P96" s="55">
        <v>11.51</v>
      </c>
      <c r="Q96" s="55">
        <f t="shared" si="3"/>
        <v>-4.0000000000000924E-2</v>
      </c>
      <c r="R96" s="55"/>
      <c r="S96" s="55" t="str">
        <f t="shared" si="4"/>
        <v/>
      </c>
      <c r="T96" s="12"/>
      <c r="U96" s="12"/>
      <c r="V96" s="12"/>
      <c r="W96" s="12"/>
      <c r="X96" s="53"/>
      <c r="Y96" s="53"/>
      <c r="Z96" s="54">
        <v>1</v>
      </c>
      <c r="AA96" s="54" t="s">
        <v>30</v>
      </c>
      <c r="AB96" s="56"/>
      <c r="AC96" s="53"/>
      <c r="AD96" s="59"/>
    </row>
    <row r="97" spans="1:30" s="57" customFormat="1" ht="21.75" customHeight="1">
      <c r="A97" s="53">
        <v>79</v>
      </c>
      <c r="B97" s="53">
        <v>3</v>
      </c>
      <c r="C97" s="53">
        <v>9</v>
      </c>
      <c r="D97" s="53">
        <v>3</v>
      </c>
      <c r="E97" s="58"/>
      <c r="F97" s="58"/>
      <c r="G97" s="53" t="s">
        <v>35</v>
      </c>
      <c r="H97" s="53">
        <v>2</v>
      </c>
      <c r="I97" s="53">
        <v>8988</v>
      </c>
      <c r="J97" s="53">
        <v>7</v>
      </c>
      <c r="K97" s="53" t="s">
        <v>31</v>
      </c>
      <c r="L97" s="53">
        <v>1</v>
      </c>
      <c r="M97" s="53"/>
      <c r="N97" s="53"/>
      <c r="O97" s="55">
        <v>11.54</v>
      </c>
      <c r="P97" s="55">
        <v>11.5</v>
      </c>
      <c r="Q97" s="55">
        <f t="shared" si="3"/>
        <v>-3.9999999999999147E-2</v>
      </c>
      <c r="R97" s="55"/>
      <c r="S97" s="55" t="str">
        <f t="shared" si="4"/>
        <v/>
      </c>
      <c r="T97" s="12"/>
      <c r="U97" s="12"/>
      <c r="V97" s="12"/>
      <c r="W97" s="12"/>
      <c r="X97" s="53"/>
      <c r="Y97" s="53"/>
      <c r="Z97" s="54">
        <v>1</v>
      </c>
      <c r="AA97" s="54" t="s">
        <v>30</v>
      </c>
      <c r="AB97" s="56"/>
      <c r="AC97" s="53"/>
      <c r="AD97" s="59"/>
    </row>
    <row r="98" spans="1:30" s="57" customFormat="1" ht="21.75" customHeight="1">
      <c r="A98" s="53">
        <v>80</v>
      </c>
      <c r="B98" s="53">
        <v>3</v>
      </c>
      <c r="C98" s="53">
        <v>9</v>
      </c>
      <c r="D98" s="53">
        <v>3</v>
      </c>
      <c r="E98" s="58"/>
      <c r="F98" s="58"/>
      <c r="G98" s="53" t="s">
        <v>35</v>
      </c>
      <c r="H98" s="53">
        <v>2</v>
      </c>
      <c r="I98" s="53">
        <v>8988</v>
      </c>
      <c r="J98" s="53">
        <v>9</v>
      </c>
      <c r="K98" s="53" t="s">
        <v>31</v>
      </c>
      <c r="L98" s="53">
        <v>1</v>
      </c>
      <c r="M98" s="53"/>
      <c r="N98" s="53"/>
      <c r="O98" s="55">
        <v>10.99</v>
      </c>
      <c r="P98" s="55">
        <v>10.96</v>
      </c>
      <c r="Q98" s="55">
        <f t="shared" si="3"/>
        <v>-2.9999999999999361E-2</v>
      </c>
      <c r="R98" s="55"/>
      <c r="S98" s="55" t="str">
        <f t="shared" si="4"/>
        <v/>
      </c>
      <c r="T98" s="12"/>
      <c r="U98" s="12"/>
      <c r="V98" s="12"/>
      <c r="W98" s="12"/>
      <c r="X98" s="53"/>
      <c r="Y98" s="53"/>
      <c r="Z98" s="54">
        <v>1</v>
      </c>
      <c r="AA98" s="54"/>
      <c r="AB98" s="56"/>
      <c r="AC98" s="53"/>
      <c r="AD98" s="59"/>
    </row>
    <row r="99" spans="1:30" s="57" customFormat="1" ht="20.25">
      <c r="A99" s="53">
        <v>81</v>
      </c>
      <c r="B99" s="53">
        <v>3</v>
      </c>
      <c r="C99" s="53">
        <v>9</v>
      </c>
      <c r="D99" s="53">
        <v>3</v>
      </c>
      <c r="E99" s="58"/>
      <c r="F99" s="58"/>
      <c r="G99" s="53" t="s">
        <v>35</v>
      </c>
      <c r="H99" s="53">
        <v>2</v>
      </c>
      <c r="I99" s="53">
        <v>8989</v>
      </c>
      <c r="J99" s="53">
        <v>2</v>
      </c>
      <c r="K99" s="53" t="s">
        <v>31</v>
      </c>
      <c r="L99" s="53">
        <v>1</v>
      </c>
      <c r="M99" s="53"/>
      <c r="N99" s="53"/>
      <c r="O99" s="55">
        <v>8.73</v>
      </c>
      <c r="P99" s="55">
        <v>8.6999999999999993</v>
      </c>
      <c r="Q99" s="55">
        <f t="shared" si="3"/>
        <v>-3.0000000000001137E-2</v>
      </c>
      <c r="R99" s="55"/>
      <c r="S99" s="55" t="str">
        <f t="shared" si="4"/>
        <v/>
      </c>
      <c r="T99" s="12"/>
      <c r="U99" s="12"/>
      <c r="V99" s="12"/>
      <c r="W99" s="12"/>
      <c r="X99" s="53"/>
      <c r="Y99" s="53"/>
      <c r="Z99" s="54">
        <v>1</v>
      </c>
      <c r="AA99" s="54" t="s">
        <v>30</v>
      </c>
      <c r="AB99" s="56"/>
      <c r="AC99" s="53"/>
      <c r="AD99" s="59"/>
    </row>
    <row r="100" spans="1:30" s="57" customFormat="1" ht="20.25">
      <c r="A100" s="53">
        <v>82</v>
      </c>
      <c r="B100" s="53">
        <v>3</v>
      </c>
      <c r="C100" s="53">
        <v>9</v>
      </c>
      <c r="D100" s="53">
        <v>3</v>
      </c>
      <c r="E100" s="58"/>
      <c r="F100" s="58"/>
      <c r="G100" s="53" t="s">
        <v>35</v>
      </c>
      <c r="H100" s="53">
        <v>1</v>
      </c>
      <c r="I100" s="53">
        <v>8989</v>
      </c>
      <c r="J100" s="53">
        <v>5</v>
      </c>
      <c r="K100" s="53" t="s">
        <v>31</v>
      </c>
      <c r="L100" s="53">
        <v>1</v>
      </c>
      <c r="M100" s="53"/>
      <c r="N100" s="53"/>
      <c r="O100" s="55">
        <v>10.96</v>
      </c>
      <c r="P100" s="55">
        <v>10.92</v>
      </c>
      <c r="Q100" s="55">
        <f t="shared" si="3"/>
        <v>-4.0000000000000924E-2</v>
      </c>
      <c r="R100" s="55"/>
      <c r="S100" s="55" t="str">
        <f t="shared" si="4"/>
        <v/>
      </c>
      <c r="T100" s="12"/>
      <c r="U100" s="12"/>
      <c r="V100" s="12"/>
      <c r="W100" s="12"/>
      <c r="X100" s="53"/>
      <c r="Y100" s="53"/>
      <c r="Z100" s="54">
        <v>1</v>
      </c>
      <c r="AA100" s="54" t="s">
        <v>30</v>
      </c>
      <c r="AB100" s="56"/>
      <c r="AC100" s="53"/>
      <c r="AD100" s="59"/>
    </row>
    <row r="101" spans="1:30" s="57" customFormat="1" ht="20.25">
      <c r="A101" s="53">
        <v>83</v>
      </c>
      <c r="B101" s="53">
        <v>3</v>
      </c>
      <c r="C101" s="53">
        <v>9</v>
      </c>
      <c r="D101" s="53">
        <v>3</v>
      </c>
      <c r="E101" s="58"/>
      <c r="F101" s="58"/>
      <c r="G101" s="53" t="s">
        <v>35</v>
      </c>
      <c r="H101" s="53">
        <v>2</v>
      </c>
      <c r="I101" s="53">
        <v>8989</v>
      </c>
      <c r="J101" s="53">
        <v>5</v>
      </c>
      <c r="K101" s="53" t="s">
        <v>29</v>
      </c>
      <c r="L101" s="53">
        <v>1</v>
      </c>
      <c r="M101" s="53"/>
      <c r="N101" s="53"/>
      <c r="O101" s="55">
        <v>8.18</v>
      </c>
      <c r="P101" s="55">
        <v>8.14</v>
      </c>
      <c r="Q101" s="55">
        <f t="shared" si="3"/>
        <v>-3.9999999999999147E-2</v>
      </c>
      <c r="R101" s="55"/>
      <c r="S101" s="55" t="str">
        <f t="shared" si="4"/>
        <v/>
      </c>
      <c r="T101" s="12"/>
      <c r="U101" s="12"/>
      <c r="V101" s="12"/>
      <c r="W101" s="12"/>
      <c r="X101" s="53"/>
      <c r="Y101" s="53"/>
      <c r="Z101" s="54">
        <v>1</v>
      </c>
      <c r="AA101" s="54"/>
      <c r="AB101" s="56"/>
      <c r="AC101" s="53"/>
      <c r="AD101" s="59"/>
    </row>
    <row r="102" spans="1:30" s="57" customFormat="1" ht="20.25">
      <c r="A102" s="53">
        <v>84</v>
      </c>
      <c r="B102" s="53">
        <v>3</v>
      </c>
      <c r="C102" s="53">
        <v>9</v>
      </c>
      <c r="D102" s="53">
        <v>3</v>
      </c>
      <c r="E102" s="58"/>
      <c r="F102" s="58"/>
      <c r="G102" s="53" t="s">
        <v>35</v>
      </c>
      <c r="H102" s="53">
        <v>2</v>
      </c>
      <c r="I102" s="53">
        <v>8989</v>
      </c>
      <c r="J102" s="53">
        <v>7</v>
      </c>
      <c r="K102" s="53" t="s">
        <v>29</v>
      </c>
      <c r="L102" s="53">
        <v>1</v>
      </c>
      <c r="M102" s="53"/>
      <c r="N102" s="53"/>
      <c r="O102" s="55">
        <v>8.82</v>
      </c>
      <c r="P102" s="55">
        <v>8.7799999999999994</v>
      </c>
      <c r="Q102" s="55">
        <f t="shared" si="3"/>
        <v>-4.0000000000000924E-2</v>
      </c>
      <c r="R102" s="55"/>
      <c r="S102" s="55" t="str">
        <f t="shared" si="4"/>
        <v/>
      </c>
      <c r="T102" s="12"/>
      <c r="U102" s="12"/>
      <c r="V102" s="12"/>
      <c r="W102" s="12"/>
      <c r="X102" s="53"/>
      <c r="Y102" s="53"/>
      <c r="Z102" s="54">
        <v>1</v>
      </c>
      <c r="AA102" s="54"/>
      <c r="AB102" s="56"/>
      <c r="AC102" s="53"/>
      <c r="AD102" s="59"/>
    </row>
    <row r="103" spans="1:30" s="57" customFormat="1" ht="20.25">
      <c r="A103" s="53">
        <v>85</v>
      </c>
      <c r="B103" s="53">
        <v>3</v>
      </c>
      <c r="C103" s="53">
        <v>9</v>
      </c>
      <c r="D103" s="53">
        <v>3</v>
      </c>
      <c r="E103" s="58"/>
      <c r="F103" s="58"/>
      <c r="G103" s="53" t="s">
        <v>35</v>
      </c>
      <c r="H103" s="53">
        <v>2</v>
      </c>
      <c r="I103" s="53">
        <v>8989</v>
      </c>
      <c r="J103" s="53">
        <v>7</v>
      </c>
      <c r="K103" s="53" t="s">
        <v>31</v>
      </c>
      <c r="L103" s="53">
        <v>1</v>
      </c>
      <c r="M103" s="53"/>
      <c r="N103" s="53"/>
      <c r="O103" s="55">
        <v>8.1199999999999992</v>
      </c>
      <c r="P103" s="55">
        <v>8.1</v>
      </c>
      <c r="Q103" s="55">
        <f t="shared" si="3"/>
        <v>-1.9999999999999574E-2</v>
      </c>
      <c r="R103" s="55"/>
      <c r="S103" s="55" t="str">
        <f t="shared" si="4"/>
        <v/>
      </c>
      <c r="T103" s="12"/>
      <c r="U103" s="12"/>
      <c r="V103" s="12"/>
      <c r="W103" s="12"/>
      <c r="X103" s="53"/>
      <c r="Y103" s="53"/>
      <c r="Z103" s="54">
        <v>1</v>
      </c>
      <c r="AA103" s="54"/>
      <c r="AB103" s="56"/>
      <c r="AC103" s="53"/>
      <c r="AD103" s="59"/>
    </row>
    <row r="104" spans="1:30" s="57" customFormat="1" ht="20.25">
      <c r="A104" s="53">
        <v>86</v>
      </c>
      <c r="B104" s="53">
        <v>3</v>
      </c>
      <c r="C104" s="53">
        <v>9</v>
      </c>
      <c r="D104" s="53">
        <v>3</v>
      </c>
      <c r="E104" s="58"/>
      <c r="F104" s="58"/>
      <c r="G104" s="53" t="s">
        <v>35</v>
      </c>
      <c r="H104" s="53">
        <v>2</v>
      </c>
      <c r="I104" s="53">
        <v>8990</v>
      </c>
      <c r="J104" s="53">
        <v>9</v>
      </c>
      <c r="K104" s="53" t="s">
        <v>29</v>
      </c>
      <c r="L104" s="53">
        <v>1</v>
      </c>
      <c r="M104" s="53"/>
      <c r="N104" s="53"/>
      <c r="O104" s="55">
        <v>8.2799999999999994</v>
      </c>
      <c r="P104" s="55">
        <v>8.24</v>
      </c>
      <c r="Q104" s="55">
        <f t="shared" si="3"/>
        <v>-3.9999999999999147E-2</v>
      </c>
      <c r="R104" s="55"/>
      <c r="S104" s="55" t="str">
        <f t="shared" si="4"/>
        <v/>
      </c>
      <c r="T104" s="12"/>
      <c r="U104" s="12"/>
      <c r="V104" s="12"/>
      <c r="W104" s="12"/>
      <c r="X104" s="53"/>
      <c r="Y104" s="53"/>
      <c r="Z104" s="54">
        <v>1</v>
      </c>
      <c r="AA104" s="54"/>
      <c r="AB104" s="56"/>
      <c r="AC104" s="53"/>
      <c r="AD104" s="59"/>
    </row>
    <row r="105" spans="1:30" s="57" customFormat="1" ht="20.25">
      <c r="A105" s="53">
        <v>87</v>
      </c>
      <c r="B105" s="53">
        <v>3</v>
      </c>
      <c r="C105" s="53">
        <v>9</v>
      </c>
      <c r="D105" s="53">
        <v>3</v>
      </c>
      <c r="E105" s="58"/>
      <c r="F105" s="58"/>
      <c r="G105" s="53" t="s">
        <v>35</v>
      </c>
      <c r="H105" s="53">
        <v>2</v>
      </c>
      <c r="I105" s="53">
        <v>8990</v>
      </c>
      <c r="J105" s="53">
        <v>10</v>
      </c>
      <c r="K105" s="53" t="s">
        <v>29</v>
      </c>
      <c r="L105" s="53">
        <v>1</v>
      </c>
      <c r="M105" s="53"/>
      <c r="N105" s="53"/>
      <c r="O105" s="55">
        <v>8.7100000000000009</v>
      </c>
      <c r="P105" s="55">
        <v>8.67</v>
      </c>
      <c r="Q105" s="55">
        <f t="shared" si="3"/>
        <v>-4.0000000000000924E-2</v>
      </c>
      <c r="R105" s="55"/>
      <c r="S105" s="55" t="str">
        <f t="shared" si="4"/>
        <v/>
      </c>
      <c r="T105" s="12"/>
      <c r="U105" s="12"/>
      <c r="V105" s="12"/>
      <c r="W105" s="12"/>
      <c r="X105" s="53"/>
      <c r="Y105" s="53"/>
      <c r="Z105" s="54">
        <v>1</v>
      </c>
      <c r="AA105" s="54" t="s">
        <v>30</v>
      </c>
      <c r="AB105" s="56"/>
      <c r="AC105" s="53"/>
      <c r="AD105" s="59"/>
    </row>
    <row r="106" spans="1:30" s="57" customFormat="1" ht="20.25">
      <c r="A106" s="53">
        <v>88</v>
      </c>
      <c r="B106" s="53">
        <v>3</v>
      </c>
      <c r="C106" s="53">
        <v>9</v>
      </c>
      <c r="D106" s="53">
        <v>3</v>
      </c>
      <c r="E106" s="58"/>
      <c r="F106" s="58"/>
      <c r="G106" s="53" t="s">
        <v>35</v>
      </c>
      <c r="H106" s="53">
        <v>2</v>
      </c>
      <c r="I106" s="53">
        <v>8991</v>
      </c>
      <c r="J106" s="53">
        <v>3</v>
      </c>
      <c r="K106" s="53" t="s">
        <v>31</v>
      </c>
      <c r="L106" s="53">
        <v>1</v>
      </c>
      <c r="M106" s="53"/>
      <c r="N106" s="53"/>
      <c r="O106" s="55">
        <v>8.1999999999999993</v>
      </c>
      <c r="P106" s="55">
        <v>8.18</v>
      </c>
      <c r="Q106" s="55" t="s">
        <v>65</v>
      </c>
      <c r="R106" s="55"/>
      <c r="S106" s="55" t="str">
        <f t="shared" si="4"/>
        <v/>
      </c>
      <c r="T106" s="12"/>
      <c r="U106" s="12"/>
      <c r="V106" s="12"/>
      <c r="W106" s="12"/>
      <c r="X106" s="53"/>
      <c r="Y106" s="53"/>
      <c r="Z106" s="54">
        <v>1</v>
      </c>
      <c r="AA106" s="54"/>
      <c r="AB106" s="56"/>
      <c r="AC106" s="53"/>
      <c r="AD106" s="59"/>
    </row>
    <row r="107" spans="1:30" s="57" customFormat="1" ht="20.25">
      <c r="A107" s="53">
        <v>89</v>
      </c>
      <c r="B107" s="53">
        <v>3</v>
      </c>
      <c r="C107" s="53">
        <v>9</v>
      </c>
      <c r="D107" s="53">
        <v>3</v>
      </c>
      <c r="E107" s="58"/>
      <c r="F107" s="58"/>
      <c r="G107" s="53" t="s">
        <v>35</v>
      </c>
      <c r="H107" s="53">
        <v>2</v>
      </c>
      <c r="I107" s="53">
        <v>8991</v>
      </c>
      <c r="J107" s="53">
        <v>8</v>
      </c>
      <c r="K107" s="53" t="s">
        <v>31</v>
      </c>
      <c r="L107" s="53">
        <v>1</v>
      </c>
      <c r="M107" s="53">
        <v>1</v>
      </c>
      <c r="N107" s="53"/>
      <c r="O107" s="55">
        <v>8.27</v>
      </c>
      <c r="P107" s="55">
        <v>8.2100000000000009</v>
      </c>
      <c r="Q107" s="55">
        <f t="shared" si="3"/>
        <v>-5.9999999999998721E-2</v>
      </c>
      <c r="R107" s="55"/>
      <c r="S107" s="55" t="str">
        <f t="shared" si="4"/>
        <v/>
      </c>
      <c r="T107" s="12"/>
      <c r="U107" s="12"/>
      <c r="V107" s="12"/>
      <c r="W107" s="12"/>
      <c r="X107" s="53"/>
      <c r="Y107" s="53"/>
      <c r="Z107" s="54">
        <v>1</v>
      </c>
      <c r="AA107" s="54"/>
      <c r="AB107" s="56"/>
      <c r="AC107" s="53"/>
      <c r="AD107" s="59"/>
    </row>
    <row r="108" spans="1:30" s="57" customFormat="1" ht="20.25">
      <c r="A108" s="53">
        <v>90</v>
      </c>
      <c r="B108" s="53">
        <v>3</v>
      </c>
      <c r="C108" s="53">
        <v>9</v>
      </c>
      <c r="D108" s="53">
        <v>3</v>
      </c>
      <c r="E108" s="58"/>
      <c r="F108" s="58"/>
      <c r="G108" s="53" t="s">
        <v>35</v>
      </c>
      <c r="H108" s="53">
        <v>1</v>
      </c>
      <c r="I108" s="53">
        <v>8992</v>
      </c>
      <c r="J108" s="53">
        <v>6</v>
      </c>
      <c r="K108" s="53" t="s">
        <v>31</v>
      </c>
      <c r="L108" s="53">
        <v>1</v>
      </c>
      <c r="M108" s="53"/>
      <c r="N108" s="53"/>
      <c r="O108" s="55">
        <v>8.6300000000000008</v>
      </c>
      <c r="P108" s="55">
        <v>8.61</v>
      </c>
      <c r="Q108" s="55">
        <f t="shared" si="3"/>
        <v>-2.000000000000135E-2</v>
      </c>
      <c r="R108" s="55"/>
      <c r="S108" s="55" t="str">
        <f t="shared" si="4"/>
        <v/>
      </c>
      <c r="T108" s="12"/>
      <c r="U108" s="12"/>
      <c r="V108" s="12"/>
      <c r="W108" s="12"/>
      <c r="X108" s="53"/>
      <c r="Y108" s="53"/>
      <c r="Z108" s="54">
        <v>1</v>
      </c>
      <c r="AA108" s="54" t="s">
        <v>30</v>
      </c>
      <c r="AB108" s="56"/>
      <c r="AC108" s="53"/>
      <c r="AD108" s="59"/>
    </row>
    <row r="109" spans="1:30" s="57" customFormat="1" ht="20.25">
      <c r="A109" s="53">
        <v>91</v>
      </c>
      <c r="B109" s="53">
        <v>3</v>
      </c>
      <c r="C109" s="53">
        <v>9</v>
      </c>
      <c r="D109" s="53">
        <v>3</v>
      </c>
      <c r="E109" s="58"/>
      <c r="F109" s="58"/>
      <c r="G109" s="53" t="s">
        <v>35</v>
      </c>
      <c r="H109" s="53">
        <v>1</v>
      </c>
      <c r="I109" s="53">
        <v>8992</v>
      </c>
      <c r="J109" s="53">
        <v>7</v>
      </c>
      <c r="K109" s="53" t="s">
        <v>29</v>
      </c>
      <c r="L109" s="53">
        <v>1</v>
      </c>
      <c r="M109" s="53"/>
      <c r="N109" s="53"/>
      <c r="O109" s="55">
        <v>8.23</v>
      </c>
      <c r="P109" s="55">
        <v>8.1999999999999993</v>
      </c>
      <c r="Q109" s="55">
        <f t="shared" si="3"/>
        <v>-3.0000000000001137E-2</v>
      </c>
      <c r="R109" s="55"/>
      <c r="S109" s="55" t="str">
        <f t="shared" si="4"/>
        <v/>
      </c>
      <c r="T109" s="12"/>
      <c r="U109" s="12"/>
      <c r="V109" s="12"/>
      <c r="W109" s="12"/>
      <c r="X109" s="53"/>
      <c r="Y109" s="53"/>
      <c r="Z109" s="54">
        <v>1</v>
      </c>
      <c r="AA109" s="54"/>
      <c r="AB109" s="56"/>
      <c r="AC109" s="53"/>
      <c r="AD109" s="59"/>
    </row>
    <row r="110" spans="1:30" s="57" customFormat="1" ht="20.25">
      <c r="A110" s="53">
        <v>92</v>
      </c>
      <c r="B110" s="53">
        <v>3</v>
      </c>
      <c r="C110" s="53">
        <v>9</v>
      </c>
      <c r="D110" s="53">
        <v>3</v>
      </c>
      <c r="E110" s="58"/>
      <c r="F110" s="58"/>
      <c r="G110" s="53" t="s">
        <v>35</v>
      </c>
      <c r="H110" s="53">
        <v>2</v>
      </c>
      <c r="I110" s="53">
        <v>8992</v>
      </c>
      <c r="J110" s="53">
        <v>7</v>
      </c>
      <c r="K110" s="53" t="s">
        <v>29</v>
      </c>
      <c r="L110" s="53">
        <v>1</v>
      </c>
      <c r="M110" s="53"/>
      <c r="N110" s="53"/>
      <c r="O110" s="55">
        <v>8.0399999999999991</v>
      </c>
      <c r="P110" s="55">
        <v>8.02</v>
      </c>
      <c r="Q110" s="55">
        <f t="shared" si="3"/>
        <v>-1.9999999999999574E-2</v>
      </c>
      <c r="R110" s="55"/>
      <c r="S110" s="55" t="str">
        <f t="shared" si="4"/>
        <v/>
      </c>
      <c r="T110" s="12"/>
      <c r="U110" s="12"/>
      <c r="V110" s="12"/>
      <c r="W110" s="12"/>
      <c r="X110" s="53"/>
      <c r="Y110" s="53"/>
      <c r="Z110" s="54">
        <v>1</v>
      </c>
      <c r="AA110" s="54" t="s">
        <v>30</v>
      </c>
      <c r="AB110" s="56"/>
      <c r="AC110" s="53"/>
      <c r="AD110" s="59"/>
    </row>
    <row r="111" spans="1:30" s="57" customFormat="1" ht="20.25">
      <c r="A111" s="53">
        <v>93</v>
      </c>
      <c r="B111" s="53">
        <v>3</v>
      </c>
      <c r="C111" s="53">
        <v>9</v>
      </c>
      <c r="D111" s="53">
        <v>3</v>
      </c>
      <c r="E111" s="58"/>
      <c r="F111" s="58"/>
      <c r="G111" s="53" t="s">
        <v>35</v>
      </c>
      <c r="H111" s="53">
        <v>1</v>
      </c>
      <c r="I111" s="53">
        <v>8993</v>
      </c>
      <c r="J111" s="53">
        <v>1</v>
      </c>
      <c r="K111" s="53" t="s">
        <v>31</v>
      </c>
      <c r="L111" s="53">
        <v>1</v>
      </c>
      <c r="M111" s="53"/>
      <c r="N111" s="53"/>
      <c r="O111" s="55">
        <v>10.55</v>
      </c>
      <c r="P111" s="55">
        <v>10.51</v>
      </c>
      <c r="Q111" s="55">
        <f t="shared" si="3"/>
        <v>-4.0000000000000924E-2</v>
      </c>
      <c r="R111" s="55"/>
      <c r="S111" s="55" t="str">
        <f t="shared" si="4"/>
        <v/>
      </c>
      <c r="T111" s="12"/>
      <c r="U111" s="12"/>
      <c r="V111" s="12"/>
      <c r="W111" s="12"/>
      <c r="X111" s="53"/>
      <c r="Y111" s="53"/>
      <c r="Z111" s="54">
        <v>1</v>
      </c>
      <c r="AA111" s="54" t="s">
        <v>30</v>
      </c>
      <c r="AB111" s="56"/>
      <c r="AC111" s="53"/>
      <c r="AD111" s="59"/>
    </row>
    <row r="112" spans="1:30" s="57" customFormat="1" ht="20.25">
      <c r="A112" s="53">
        <v>94</v>
      </c>
      <c r="B112" s="53">
        <v>3</v>
      </c>
      <c r="C112" s="53">
        <v>9</v>
      </c>
      <c r="D112" s="53">
        <v>3</v>
      </c>
      <c r="E112" s="58"/>
      <c r="F112" s="58"/>
      <c r="G112" s="53" t="s">
        <v>35</v>
      </c>
      <c r="H112" s="53">
        <v>1</v>
      </c>
      <c r="I112" s="53">
        <v>8993</v>
      </c>
      <c r="J112" s="53">
        <v>9</v>
      </c>
      <c r="K112" s="53" t="s">
        <v>31</v>
      </c>
      <c r="L112" s="53">
        <v>1</v>
      </c>
      <c r="M112" s="53"/>
      <c r="N112" s="53"/>
      <c r="O112" s="55">
        <v>8.07</v>
      </c>
      <c r="P112" s="55">
        <v>8.0519999999999996</v>
      </c>
      <c r="Q112" s="55" t="s">
        <v>65</v>
      </c>
      <c r="R112" s="55"/>
      <c r="S112" s="55" t="str">
        <f t="shared" si="4"/>
        <v/>
      </c>
      <c r="T112" s="12"/>
      <c r="U112" s="12"/>
      <c r="V112" s="12"/>
      <c r="W112" s="12"/>
      <c r="X112" s="53"/>
      <c r="Y112" s="53"/>
      <c r="Z112" s="54">
        <v>1</v>
      </c>
      <c r="AA112" s="54"/>
      <c r="AB112" s="56"/>
      <c r="AC112" s="53"/>
      <c r="AD112" s="59"/>
    </row>
    <row r="113" spans="1:30" s="57" customFormat="1" ht="20.25">
      <c r="A113" s="53">
        <v>95</v>
      </c>
      <c r="B113" s="53">
        <v>3</v>
      </c>
      <c r="C113" s="53">
        <v>9</v>
      </c>
      <c r="D113" s="53">
        <v>3</v>
      </c>
      <c r="E113" s="58"/>
      <c r="F113" s="58"/>
      <c r="G113" s="53" t="s">
        <v>35</v>
      </c>
      <c r="H113" s="53">
        <v>2</v>
      </c>
      <c r="I113" s="53">
        <v>8994</v>
      </c>
      <c r="J113" s="53">
        <v>2</v>
      </c>
      <c r="K113" s="53" t="s">
        <v>31</v>
      </c>
      <c r="L113" s="53">
        <v>1</v>
      </c>
      <c r="M113" s="53"/>
      <c r="N113" s="53"/>
      <c r="O113" s="55">
        <v>8.1199999999999992</v>
      </c>
      <c r="P113" s="55">
        <v>8.09</v>
      </c>
      <c r="Q113" s="55">
        <f t="shared" si="3"/>
        <v>-2.9999999999999361E-2</v>
      </c>
      <c r="R113" s="55"/>
      <c r="S113" s="55" t="str">
        <f t="shared" si="4"/>
        <v/>
      </c>
      <c r="T113" s="12"/>
      <c r="U113" s="12"/>
      <c r="V113" s="12"/>
      <c r="W113" s="12"/>
      <c r="X113" s="53"/>
      <c r="Y113" s="53"/>
      <c r="Z113" s="54">
        <v>1</v>
      </c>
      <c r="AA113" s="54"/>
      <c r="AB113" s="56"/>
      <c r="AC113" s="53"/>
      <c r="AD113" s="59"/>
    </row>
    <row r="114" spans="1:30" s="57" customFormat="1" ht="20.25">
      <c r="A114" s="53">
        <v>96</v>
      </c>
      <c r="B114" s="53">
        <v>3</v>
      </c>
      <c r="C114" s="53">
        <v>9</v>
      </c>
      <c r="D114" s="53">
        <v>3</v>
      </c>
      <c r="E114" s="58"/>
      <c r="F114" s="58"/>
      <c r="G114" s="53" t="s">
        <v>35</v>
      </c>
      <c r="H114" s="53">
        <v>2</v>
      </c>
      <c r="I114" s="53">
        <v>8994</v>
      </c>
      <c r="J114" s="53">
        <v>4</v>
      </c>
      <c r="K114" s="53" t="s">
        <v>29</v>
      </c>
      <c r="L114" s="53">
        <v>1</v>
      </c>
      <c r="M114" s="53"/>
      <c r="N114" s="53"/>
      <c r="O114" s="55">
        <v>8.8800000000000008</v>
      </c>
      <c r="P114" s="55">
        <v>8.84</v>
      </c>
      <c r="Q114" s="55">
        <f t="shared" si="3"/>
        <v>-4.0000000000000924E-2</v>
      </c>
      <c r="R114" s="55"/>
      <c r="S114" s="55" t="str">
        <f t="shared" si="4"/>
        <v/>
      </c>
      <c r="T114" s="12"/>
      <c r="U114" s="12"/>
      <c r="V114" s="12"/>
      <c r="W114" s="12"/>
      <c r="X114" s="53"/>
      <c r="Y114" s="53"/>
      <c r="Z114" s="54">
        <v>1</v>
      </c>
      <c r="AA114" s="54"/>
      <c r="AB114" s="56"/>
      <c r="AC114" s="53"/>
      <c r="AD114" s="59"/>
    </row>
    <row r="115" spans="1:30" s="57" customFormat="1" ht="20.25">
      <c r="A115" s="53">
        <v>97</v>
      </c>
      <c r="B115" s="53">
        <v>3</v>
      </c>
      <c r="C115" s="53">
        <v>9</v>
      </c>
      <c r="D115" s="53">
        <v>5</v>
      </c>
      <c r="E115" s="58"/>
      <c r="F115" s="58"/>
      <c r="G115" s="53" t="s">
        <v>35</v>
      </c>
      <c r="H115" s="53">
        <v>2</v>
      </c>
      <c r="I115" s="53">
        <v>8997</v>
      </c>
      <c r="J115" s="53">
        <v>1</v>
      </c>
      <c r="K115" s="53" t="s">
        <v>31</v>
      </c>
      <c r="L115" s="53">
        <v>1</v>
      </c>
      <c r="M115" s="53"/>
      <c r="N115" s="53"/>
      <c r="O115" s="55">
        <v>10.029999999999999</v>
      </c>
      <c r="P115" s="55">
        <v>10</v>
      </c>
      <c r="Q115" s="55">
        <f t="shared" ref="Q115:Q141" si="5">P115-O115</f>
        <v>-2.9999999999999361E-2</v>
      </c>
      <c r="R115" s="55"/>
      <c r="S115" s="55" t="str">
        <f t="shared" si="4"/>
        <v/>
      </c>
      <c r="T115" s="12"/>
      <c r="U115" s="12"/>
      <c r="V115" s="12"/>
      <c r="W115" s="12"/>
      <c r="X115" s="53"/>
      <c r="Y115" s="53"/>
      <c r="Z115" s="54">
        <v>1</v>
      </c>
      <c r="AA115" s="54"/>
      <c r="AB115" s="56"/>
      <c r="AC115" s="53"/>
      <c r="AD115" s="59"/>
    </row>
    <row r="116" spans="1:30" s="57" customFormat="1" ht="20.25">
      <c r="A116" s="53">
        <v>98</v>
      </c>
      <c r="B116" s="53">
        <v>3</v>
      </c>
      <c r="C116" s="53">
        <v>9</v>
      </c>
      <c r="D116" s="53">
        <v>5</v>
      </c>
      <c r="E116" s="58"/>
      <c r="F116" s="58"/>
      <c r="G116" s="53" t="s">
        <v>35</v>
      </c>
      <c r="H116" s="53">
        <v>2</v>
      </c>
      <c r="I116" s="53">
        <v>8997</v>
      </c>
      <c r="J116" s="53">
        <v>5</v>
      </c>
      <c r="K116" s="53" t="s">
        <v>31</v>
      </c>
      <c r="L116" s="53">
        <v>1</v>
      </c>
      <c r="M116" s="53"/>
      <c r="N116" s="53"/>
      <c r="O116" s="55">
        <v>12.54</v>
      </c>
      <c r="P116" s="55">
        <v>12.5</v>
      </c>
      <c r="Q116" s="55">
        <f t="shared" si="5"/>
        <v>-3.9999999999999147E-2</v>
      </c>
      <c r="R116" s="55"/>
      <c r="S116" s="55" t="str">
        <f t="shared" si="4"/>
        <v/>
      </c>
      <c r="T116" s="12"/>
      <c r="U116" s="12"/>
      <c r="V116" s="12"/>
      <c r="W116" s="12"/>
      <c r="X116" s="53"/>
      <c r="Y116" s="53"/>
      <c r="Z116" s="54">
        <v>1</v>
      </c>
      <c r="AA116" s="54" t="s">
        <v>30</v>
      </c>
      <c r="AB116" s="56"/>
      <c r="AC116" s="53"/>
      <c r="AD116" s="59"/>
    </row>
    <row r="117" spans="1:30" s="57" customFormat="1" ht="20.25">
      <c r="A117" s="53">
        <v>99</v>
      </c>
      <c r="B117" s="53">
        <v>3</v>
      </c>
      <c r="C117" s="53">
        <v>9</v>
      </c>
      <c r="D117" s="53">
        <v>5</v>
      </c>
      <c r="E117" s="58"/>
      <c r="F117" s="58"/>
      <c r="G117" s="53" t="s">
        <v>35</v>
      </c>
      <c r="H117" s="53">
        <v>2</v>
      </c>
      <c r="I117" s="53">
        <v>8997</v>
      </c>
      <c r="J117" s="53">
        <v>5</v>
      </c>
      <c r="K117" s="53" t="s">
        <v>29</v>
      </c>
      <c r="L117" s="53">
        <v>1</v>
      </c>
      <c r="M117" s="53"/>
      <c r="N117" s="53"/>
      <c r="O117" s="55">
        <v>9.36</v>
      </c>
      <c r="P117" s="55">
        <v>9.34</v>
      </c>
      <c r="Q117" s="55">
        <f t="shared" si="5"/>
        <v>-1.9999999999999574E-2</v>
      </c>
      <c r="R117" s="55"/>
      <c r="S117" s="55" t="str">
        <f t="shared" si="4"/>
        <v/>
      </c>
      <c r="T117" s="12"/>
      <c r="U117" s="12"/>
      <c r="V117" s="12"/>
      <c r="W117" s="12"/>
      <c r="X117" s="53"/>
      <c r="Y117" s="53"/>
      <c r="Z117" s="54">
        <v>1</v>
      </c>
      <c r="AA117" s="54"/>
      <c r="AB117" s="56"/>
      <c r="AC117" s="53"/>
      <c r="AD117" s="59"/>
    </row>
    <row r="118" spans="1:30" s="57" customFormat="1" ht="20.25">
      <c r="A118" s="53">
        <v>100</v>
      </c>
      <c r="B118" s="53">
        <v>3</v>
      </c>
      <c r="C118" s="53">
        <v>9</v>
      </c>
      <c r="D118" s="53">
        <v>5</v>
      </c>
      <c r="E118" s="58"/>
      <c r="F118" s="58"/>
      <c r="G118" s="53" t="s">
        <v>35</v>
      </c>
      <c r="H118" s="53">
        <v>1</v>
      </c>
      <c r="I118" s="53">
        <v>8997</v>
      </c>
      <c r="J118" s="53">
        <v>6</v>
      </c>
      <c r="K118" s="53" t="s">
        <v>31</v>
      </c>
      <c r="L118" s="53">
        <v>1</v>
      </c>
      <c r="M118" s="53"/>
      <c r="N118" s="53"/>
      <c r="O118" s="55">
        <v>9.8699999999999992</v>
      </c>
      <c r="P118" s="55">
        <v>9.83</v>
      </c>
      <c r="Q118" s="55">
        <f t="shared" si="5"/>
        <v>-3.9999999999999147E-2</v>
      </c>
      <c r="R118" s="55"/>
      <c r="S118" s="55" t="str">
        <f t="shared" si="4"/>
        <v/>
      </c>
      <c r="T118" s="12"/>
      <c r="U118" s="12"/>
      <c r="V118" s="12"/>
      <c r="W118" s="12"/>
      <c r="X118" s="53"/>
      <c r="Y118" s="53"/>
      <c r="Z118" s="54">
        <v>1</v>
      </c>
      <c r="AA118" s="54"/>
      <c r="AB118" s="56"/>
      <c r="AC118" s="53"/>
      <c r="AD118" s="59"/>
    </row>
    <row r="119" spans="1:30" s="57" customFormat="1" ht="20.25">
      <c r="A119" s="53">
        <v>101</v>
      </c>
      <c r="B119" s="53">
        <v>3</v>
      </c>
      <c r="C119" s="53">
        <v>9</v>
      </c>
      <c r="D119" s="53">
        <v>5</v>
      </c>
      <c r="E119" s="58"/>
      <c r="F119" s="58"/>
      <c r="G119" s="53" t="s">
        <v>35</v>
      </c>
      <c r="H119" s="53">
        <v>2</v>
      </c>
      <c r="I119" s="53">
        <v>8998</v>
      </c>
      <c r="J119" s="53">
        <v>2</v>
      </c>
      <c r="K119" s="53" t="s">
        <v>29</v>
      </c>
      <c r="L119" s="53">
        <v>1</v>
      </c>
      <c r="M119" s="53"/>
      <c r="N119" s="53"/>
      <c r="O119" s="55">
        <v>8.14</v>
      </c>
      <c r="P119" s="55">
        <v>8.1</v>
      </c>
      <c r="Q119" s="55">
        <f t="shared" si="5"/>
        <v>-4.0000000000000924E-2</v>
      </c>
      <c r="R119" s="55"/>
      <c r="S119" s="55" t="str">
        <f t="shared" si="4"/>
        <v/>
      </c>
      <c r="T119" s="12"/>
      <c r="U119" s="12"/>
      <c r="V119" s="12"/>
      <c r="W119" s="12"/>
      <c r="X119" s="53"/>
      <c r="Y119" s="53"/>
      <c r="Z119" s="54">
        <v>1</v>
      </c>
      <c r="AA119" s="54"/>
      <c r="AB119" s="56"/>
      <c r="AC119" s="53"/>
      <c r="AD119" s="59"/>
    </row>
    <row r="120" spans="1:30" s="57" customFormat="1" ht="20.25">
      <c r="A120" s="53">
        <v>102</v>
      </c>
      <c r="B120" s="53">
        <v>3</v>
      </c>
      <c r="C120" s="53">
        <v>9</v>
      </c>
      <c r="D120" s="53">
        <v>5</v>
      </c>
      <c r="E120" s="58"/>
      <c r="F120" s="58"/>
      <c r="G120" s="53" t="s">
        <v>35</v>
      </c>
      <c r="H120" s="53">
        <v>2</v>
      </c>
      <c r="I120" s="53">
        <v>8998</v>
      </c>
      <c r="J120" s="53">
        <v>4</v>
      </c>
      <c r="K120" s="53" t="s">
        <v>31</v>
      </c>
      <c r="L120" s="53">
        <v>1</v>
      </c>
      <c r="M120" s="53">
        <v>1</v>
      </c>
      <c r="N120" s="53"/>
      <c r="O120" s="55">
        <v>12.57</v>
      </c>
      <c r="P120" s="55">
        <v>12.54</v>
      </c>
      <c r="Q120" s="55">
        <f t="shared" si="5"/>
        <v>-3.0000000000001137E-2</v>
      </c>
      <c r="R120" s="55"/>
      <c r="S120" s="55" t="str">
        <f t="shared" si="4"/>
        <v/>
      </c>
      <c r="T120" s="12"/>
      <c r="U120" s="12"/>
      <c r="V120" s="12"/>
      <c r="W120" s="12"/>
      <c r="X120" s="53"/>
      <c r="Y120" s="53"/>
      <c r="Z120" s="54">
        <v>1</v>
      </c>
      <c r="AA120" s="54" t="s">
        <v>30</v>
      </c>
      <c r="AB120" s="56"/>
      <c r="AC120" s="53"/>
      <c r="AD120" s="59"/>
    </row>
    <row r="121" spans="1:30" s="57" customFormat="1" ht="20.25">
      <c r="A121" s="53">
        <v>103</v>
      </c>
      <c r="B121" s="53">
        <v>3</v>
      </c>
      <c r="C121" s="53">
        <v>9</v>
      </c>
      <c r="D121" s="53">
        <v>5</v>
      </c>
      <c r="E121" s="58"/>
      <c r="F121" s="58"/>
      <c r="G121" s="53" t="s">
        <v>35</v>
      </c>
      <c r="H121" s="53">
        <v>1</v>
      </c>
      <c r="I121" s="53">
        <v>8999</v>
      </c>
      <c r="J121" s="53">
        <v>3</v>
      </c>
      <c r="K121" s="53" t="s">
        <v>31</v>
      </c>
      <c r="L121" s="53">
        <v>1</v>
      </c>
      <c r="M121" s="53"/>
      <c r="N121" s="53"/>
      <c r="O121" s="55">
        <v>8.1999999999999993</v>
      </c>
      <c r="P121" s="55">
        <v>8.17</v>
      </c>
      <c r="Q121" s="55">
        <f t="shared" si="5"/>
        <v>-2.9999999999999361E-2</v>
      </c>
      <c r="R121" s="55"/>
      <c r="S121" s="55" t="str">
        <f t="shared" si="4"/>
        <v/>
      </c>
      <c r="T121" s="12"/>
      <c r="U121" s="12"/>
      <c r="V121" s="12"/>
      <c r="W121" s="12"/>
      <c r="X121" s="53"/>
      <c r="Y121" s="53"/>
      <c r="Z121" s="54">
        <v>1</v>
      </c>
      <c r="AA121" s="54" t="s">
        <v>30</v>
      </c>
      <c r="AB121" s="56"/>
      <c r="AC121" s="53"/>
      <c r="AD121" s="59"/>
    </row>
    <row r="122" spans="1:30" s="57" customFormat="1" ht="20.25">
      <c r="A122" s="53">
        <v>104</v>
      </c>
      <c r="B122" s="53">
        <v>3</v>
      </c>
      <c r="C122" s="53">
        <v>9</v>
      </c>
      <c r="D122" s="53">
        <v>5</v>
      </c>
      <c r="E122" s="58"/>
      <c r="F122" s="58"/>
      <c r="G122" s="53" t="s">
        <v>35</v>
      </c>
      <c r="H122" s="53">
        <v>2</v>
      </c>
      <c r="I122" s="53">
        <v>9000</v>
      </c>
      <c r="J122" s="53">
        <v>4</v>
      </c>
      <c r="K122" s="53" t="s">
        <v>31</v>
      </c>
      <c r="L122" s="53">
        <v>1</v>
      </c>
      <c r="M122" s="53"/>
      <c r="N122" s="53"/>
      <c r="O122" s="55">
        <v>8.1999999999999993</v>
      </c>
      <c r="P122" s="55">
        <v>8.15</v>
      </c>
      <c r="Q122" s="55">
        <f t="shared" si="5"/>
        <v>-4.9999999999998934E-2</v>
      </c>
      <c r="R122" s="55"/>
      <c r="S122" s="55" t="str">
        <f t="shared" si="4"/>
        <v/>
      </c>
      <c r="T122" s="12"/>
      <c r="U122" s="12"/>
      <c r="V122" s="12"/>
      <c r="W122" s="12"/>
      <c r="X122" s="53"/>
      <c r="Y122" s="53"/>
      <c r="Z122" s="54">
        <v>1</v>
      </c>
      <c r="AA122" s="54" t="s">
        <v>30</v>
      </c>
      <c r="AB122" s="56"/>
      <c r="AC122" s="53"/>
      <c r="AD122" s="59"/>
    </row>
    <row r="123" spans="1:30" s="57" customFormat="1" ht="20.25">
      <c r="A123" s="53">
        <v>105</v>
      </c>
      <c r="B123" s="53">
        <v>3</v>
      </c>
      <c r="C123" s="53">
        <v>9</v>
      </c>
      <c r="D123" s="53">
        <v>5</v>
      </c>
      <c r="E123" s="58"/>
      <c r="F123" s="58"/>
      <c r="G123" s="53" t="s">
        <v>35</v>
      </c>
      <c r="H123" s="53">
        <v>1</v>
      </c>
      <c r="I123" s="53">
        <v>9001</v>
      </c>
      <c r="J123" s="53">
        <v>1</v>
      </c>
      <c r="K123" s="53" t="s">
        <v>29</v>
      </c>
      <c r="L123" s="53">
        <v>1</v>
      </c>
      <c r="M123" s="53"/>
      <c r="N123" s="53"/>
      <c r="O123" s="55">
        <v>8.23</v>
      </c>
      <c r="P123" s="55">
        <v>8.1999999999999993</v>
      </c>
      <c r="Q123" s="55">
        <f t="shared" si="5"/>
        <v>-3.0000000000001137E-2</v>
      </c>
      <c r="R123" s="55"/>
      <c r="S123" s="55" t="str">
        <f t="shared" si="4"/>
        <v/>
      </c>
      <c r="T123" s="12"/>
      <c r="U123" s="12"/>
      <c r="V123" s="12"/>
      <c r="W123" s="12"/>
      <c r="X123" s="53"/>
      <c r="Y123" s="53"/>
      <c r="Z123" s="54">
        <v>1</v>
      </c>
      <c r="AA123" s="54"/>
      <c r="AB123" s="56"/>
      <c r="AC123" s="53"/>
      <c r="AD123" s="59"/>
    </row>
    <row r="124" spans="1:30" s="57" customFormat="1" ht="20.25">
      <c r="A124" s="53">
        <v>106</v>
      </c>
      <c r="B124" s="53">
        <v>3</v>
      </c>
      <c r="C124" s="53">
        <v>9</v>
      </c>
      <c r="D124" s="53">
        <v>5</v>
      </c>
      <c r="E124" s="58"/>
      <c r="F124" s="58"/>
      <c r="G124" s="53" t="s">
        <v>35</v>
      </c>
      <c r="H124" s="53">
        <v>2</v>
      </c>
      <c r="I124" s="53">
        <v>9001</v>
      </c>
      <c r="J124" s="53">
        <v>5</v>
      </c>
      <c r="K124" s="53" t="s">
        <v>29</v>
      </c>
      <c r="L124" s="53">
        <v>1</v>
      </c>
      <c r="M124" s="53"/>
      <c r="N124" s="53"/>
      <c r="O124" s="55">
        <v>9.6300000000000008</v>
      </c>
      <c r="P124" s="55">
        <v>9.6</v>
      </c>
      <c r="Q124" s="55">
        <f t="shared" si="5"/>
        <v>-3.0000000000001137E-2</v>
      </c>
      <c r="R124" s="55"/>
      <c r="S124" s="55" t="str">
        <f t="shared" si="4"/>
        <v/>
      </c>
      <c r="T124" s="12"/>
      <c r="U124" s="12"/>
      <c r="V124" s="12"/>
      <c r="W124" s="12"/>
      <c r="X124" s="53"/>
      <c r="Y124" s="53"/>
      <c r="Z124" s="54">
        <v>1</v>
      </c>
      <c r="AA124" s="54"/>
      <c r="AB124" s="56"/>
      <c r="AC124" s="53"/>
      <c r="AD124" s="59"/>
    </row>
    <row r="125" spans="1:30" s="57" customFormat="1" ht="20.25">
      <c r="A125" s="53">
        <v>107</v>
      </c>
      <c r="B125" s="53">
        <v>3</v>
      </c>
      <c r="C125" s="53">
        <v>9</v>
      </c>
      <c r="D125" s="53">
        <v>5</v>
      </c>
      <c r="E125" s="58"/>
      <c r="F125" s="58"/>
      <c r="G125" s="53" t="s">
        <v>36</v>
      </c>
      <c r="H125" s="53">
        <v>2</v>
      </c>
      <c r="I125" s="53">
        <v>9002</v>
      </c>
      <c r="J125" s="53">
        <v>10</v>
      </c>
      <c r="K125" s="53" t="s">
        <v>29</v>
      </c>
      <c r="L125" s="53">
        <v>1</v>
      </c>
      <c r="M125" s="53"/>
      <c r="N125" s="53"/>
      <c r="O125" s="55">
        <v>12.54</v>
      </c>
      <c r="P125" s="55"/>
      <c r="Q125" s="55">
        <f t="shared" si="5"/>
        <v>-12.54</v>
      </c>
      <c r="R125" s="55"/>
      <c r="S125" s="55" t="str">
        <f t="shared" si="4"/>
        <v/>
      </c>
      <c r="T125" s="12"/>
      <c r="U125" s="12"/>
      <c r="V125" s="12"/>
      <c r="W125" s="12"/>
      <c r="X125" s="53"/>
      <c r="Y125" s="53"/>
      <c r="Z125" s="54"/>
      <c r="AA125" s="54">
        <v>1</v>
      </c>
      <c r="AB125" s="56"/>
      <c r="AC125" s="53"/>
      <c r="AD125" s="59"/>
    </row>
    <row r="126" spans="1:30" s="57" customFormat="1" ht="20.25">
      <c r="A126" s="53">
        <v>108</v>
      </c>
      <c r="B126" s="53">
        <v>3</v>
      </c>
      <c r="C126" s="53">
        <v>9</v>
      </c>
      <c r="D126" s="53">
        <v>5</v>
      </c>
      <c r="E126" s="58"/>
      <c r="F126" s="58"/>
      <c r="G126" s="53" t="s">
        <v>36</v>
      </c>
      <c r="H126" s="53">
        <v>2</v>
      </c>
      <c r="I126" s="53">
        <v>9003</v>
      </c>
      <c r="J126" s="53">
        <v>4</v>
      </c>
      <c r="K126" s="53" t="s">
        <v>31</v>
      </c>
      <c r="L126" s="53">
        <v>1</v>
      </c>
      <c r="M126" s="53"/>
      <c r="N126" s="53"/>
      <c r="O126" s="55">
        <v>12.54</v>
      </c>
      <c r="P126" s="55">
        <v>12.5</v>
      </c>
      <c r="Q126" s="55">
        <f t="shared" si="5"/>
        <v>-3.9999999999999147E-2</v>
      </c>
      <c r="R126" s="55"/>
      <c r="S126" s="55" t="str">
        <f t="shared" si="4"/>
        <v/>
      </c>
      <c r="T126" s="12"/>
      <c r="U126" s="12"/>
      <c r="V126" s="12"/>
      <c r="W126" s="12"/>
      <c r="X126" s="53"/>
      <c r="Y126" s="53"/>
      <c r="Z126" s="54"/>
      <c r="AA126" s="54">
        <v>1</v>
      </c>
      <c r="AB126" s="56"/>
      <c r="AC126" s="53"/>
      <c r="AD126" s="59"/>
    </row>
    <row r="127" spans="1:30" s="57" customFormat="1" ht="20.25">
      <c r="A127" s="53">
        <v>109</v>
      </c>
      <c r="B127" s="53">
        <v>3</v>
      </c>
      <c r="C127" s="53">
        <v>9</v>
      </c>
      <c r="D127" s="53">
        <v>5</v>
      </c>
      <c r="E127" s="58"/>
      <c r="F127" s="58"/>
      <c r="G127" s="53" t="s">
        <v>36</v>
      </c>
      <c r="H127" s="53">
        <v>1</v>
      </c>
      <c r="I127" s="53">
        <v>9003</v>
      </c>
      <c r="J127" s="53">
        <v>4</v>
      </c>
      <c r="K127" s="53" t="s">
        <v>31</v>
      </c>
      <c r="L127" s="53">
        <v>1</v>
      </c>
      <c r="M127" s="53"/>
      <c r="N127" s="53"/>
      <c r="O127" s="55">
        <v>12.54</v>
      </c>
      <c r="P127" s="55">
        <v>12.49</v>
      </c>
      <c r="Q127" s="55">
        <f t="shared" si="5"/>
        <v>-4.9999999999998934E-2</v>
      </c>
      <c r="R127" s="55"/>
      <c r="S127" s="55" t="str">
        <f t="shared" si="4"/>
        <v/>
      </c>
      <c r="T127" s="12"/>
      <c r="U127" s="12"/>
      <c r="V127" s="12"/>
      <c r="W127" s="12"/>
      <c r="X127" s="53"/>
      <c r="Y127" s="53"/>
      <c r="Z127" s="54" t="s">
        <v>30</v>
      </c>
      <c r="AA127" s="54">
        <v>1</v>
      </c>
      <c r="AB127" s="56"/>
      <c r="AC127" s="53"/>
      <c r="AD127" s="59"/>
    </row>
    <row r="128" spans="1:30" s="57" customFormat="1" ht="20.25">
      <c r="A128" s="53">
        <v>110</v>
      </c>
      <c r="B128" s="53">
        <v>3</v>
      </c>
      <c r="C128" s="53">
        <v>9</v>
      </c>
      <c r="D128" s="53">
        <v>6</v>
      </c>
      <c r="E128" s="58"/>
      <c r="F128" s="58"/>
      <c r="G128" s="53" t="s">
        <v>37</v>
      </c>
      <c r="H128" s="53">
        <v>1</v>
      </c>
      <c r="I128" s="53">
        <v>9008</v>
      </c>
      <c r="J128" s="53">
        <v>7</v>
      </c>
      <c r="K128" s="53" t="s">
        <v>29</v>
      </c>
      <c r="L128" s="53">
        <v>1</v>
      </c>
      <c r="M128" s="53"/>
      <c r="N128" s="53"/>
      <c r="O128" s="55">
        <v>8.0399999999999991</v>
      </c>
      <c r="P128" s="55">
        <v>8</v>
      </c>
      <c r="Q128" s="55">
        <f t="shared" si="5"/>
        <v>-3.9999999999999147E-2</v>
      </c>
      <c r="R128" s="55"/>
      <c r="S128" s="55" t="str">
        <f t="shared" si="4"/>
        <v/>
      </c>
      <c r="T128" s="12"/>
      <c r="U128" s="12"/>
      <c r="V128" s="12"/>
      <c r="W128" s="12"/>
      <c r="X128" s="53"/>
      <c r="Y128" s="53"/>
      <c r="Z128" s="54">
        <v>1</v>
      </c>
      <c r="AA128" s="54" t="s">
        <v>30</v>
      </c>
      <c r="AB128" s="56"/>
      <c r="AC128" s="53"/>
      <c r="AD128" s="59"/>
    </row>
    <row r="129" spans="1:30" s="57" customFormat="1" ht="20.25">
      <c r="A129" s="53">
        <v>111</v>
      </c>
      <c r="B129" s="53">
        <v>3</v>
      </c>
      <c r="C129" s="53">
        <v>9</v>
      </c>
      <c r="D129" s="53">
        <v>6</v>
      </c>
      <c r="E129" s="58"/>
      <c r="F129" s="58"/>
      <c r="G129" s="53" t="s">
        <v>37</v>
      </c>
      <c r="H129" s="53">
        <v>1</v>
      </c>
      <c r="I129" s="53">
        <v>9009</v>
      </c>
      <c r="J129" s="53">
        <v>2</v>
      </c>
      <c r="K129" s="53" t="s">
        <v>31</v>
      </c>
      <c r="L129" s="53">
        <v>1</v>
      </c>
      <c r="M129" s="53"/>
      <c r="N129" s="53"/>
      <c r="O129" s="55">
        <v>8.0399999999999991</v>
      </c>
      <c r="P129" s="55">
        <v>8</v>
      </c>
      <c r="Q129" s="55">
        <f t="shared" si="5"/>
        <v>-3.9999999999999147E-2</v>
      </c>
      <c r="R129" s="55"/>
      <c r="S129" s="55" t="str">
        <f t="shared" si="4"/>
        <v/>
      </c>
      <c r="T129" s="12"/>
      <c r="U129" s="12"/>
      <c r="V129" s="12"/>
      <c r="W129" s="12"/>
      <c r="X129" s="53"/>
      <c r="Y129" s="53"/>
      <c r="Z129" s="54">
        <v>1</v>
      </c>
      <c r="AA129" s="54"/>
      <c r="AB129" s="56"/>
      <c r="AC129" s="53"/>
      <c r="AD129" s="59"/>
    </row>
    <row r="130" spans="1:30" s="57" customFormat="1" ht="20.25">
      <c r="A130" s="53">
        <v>112</v>
      </c>
      <c r="B130" s="53">
        <v>3</v>
      </c>
      <c r="C130" s="53">
        <v>9</v>
      </c>
      <c r="D130" s="53">
        <v>6</v>
      </c>
      <c r="E130" s="58"/>
      <c r="F130" s="58"/>
      <c r="G130" s="53" t="s">
        <v>37</v>
      </c>
      <c r="H130" s="53">
        <v>1</v>
      </c>
      <c r="I130" s="53">
        <v>9011</v>
      </c>
      <c r="J130" s="53">
        <v>8</v>
      </c>
      <c r="K130" s="53" t="s">
        <v>29</v>
      </c>
      <c r="L130" s="53">
        <v>1</v>
      </c>
      <c r="M130" s="53"/>
      <c r="N130" s="53"/>
      <c r="O130" s="55">
        <v>8.0350000000000001</v>
      </c>
      <c r="P130" s="55">
        <v>8</v>
      </c>
      <c r="Q130" s="55">
        <f t="shared" si="5"/>
        <v>-3.5000000000000142E-2</v>
      </c>
      <c r="R130" s="55"/>
      <c r="S130" s="55" t="str">
        <f t="shared" si="4"/>
        <v/>
      </c>
      <c r="T130" s="12"/>
      <c r="U130" s="12"/>
      <c r="V130" s="12"/>
      <c r="W130" s="12"/>
      <c r="X130" s="53"/>
      <c r="Y130" s="53"/>
      <c r="Z130" s="54">
        <v>1</v>
      </c>
      <c r="AA130" s="54"/>
      <c r="AB130" s="56"/>
      <c r="AC130" s="53"/>
      <c r="AD130" s="59"/>
    </row>
    <row r="131" spans="1:30" s="57" customFormat="1" ht="20.25">
      <c r="A131" s="53">
        <v>113</v>
      </c>
      <c r="B131" s="53">
        <v>3</v>
      </c>
      <c r="C131" s="53">
        <v>9</v>
      </c>
      <c r="D131" s="53">
        <v>6</v>
      </c>
      <c r="E131" s="58"/>
      <c r="F131" s="58"/>
      <c r="G131" s="53" t="s">
        <v>37</v>
      </c>
      <c r="H131" s="53">
        <v>1</v>
      </c>
      <c r="I131" s="53">
        <v>9012</v>
      </c>
      <c r="J131" s="53">
        <v>7</v>
      </c>
      <c r="K131" s="53" t="s">
        <v>31</v>
      </c>
      <c r="L131" s="53">
        <v>1</v>
      </c>
      <c r="M131" s="53"/>
      <c r="N131" s="53"/>
      <c r="O131" s="55">
        <v>8.14</v>
      </c>
      <c r="P131" s="55">
        <v>8.1</v>
      </c>
      <c r="Q131" s="55">
        <f t="shared" si="5"/>
        <v>-4.0000000000000924E-2</v>
      </c>
      <c r="R131" s="55"/>
      <c r="S131" s="55" t="str">
        <f t="shared" si="4"/>
        <v/>
      </c>
      <c r="T131" s="12"/>
      <c r="U131" s="12"/>
      <c r="V131" s="12"/>
      <c r="W131" s="12"/>
      <c r="X131" s="53"/>
      <c r="Y131" s="53"/>
      <c r="Z131" s="54">
        <v>1</v>
      </c>
      <c r="AA131" s="54" t="s">
        <v>30</v>
      </c>
      <c r="AB131" s="56"/>
      <c r="AC131" s="53"/>
      <c r="AD131" s="59"/>
    </row>
    <row r="132" spans="1:30" s="57" customFormat="1" ht="20.25">
      <c r="A132" s="53">
        <v>114</v>
      </c>
      <c r="B132" s="53">
        <v>3</v>
      </c>
      <c r="C132" s="53">
        <v>9</v>
      </c>
      <c r="D132" s="53">
        <v>6</v>
      </c>
      <c r="E132" s="58"/>
      <c r="F132" s="58"/>
      <c r="G132" s="53" t="s">
        <v>38</v>
      </c>
      <c r="H132" s="53">
        <v>2</v>
      </c>
      <c r="I132" s="53">
        <v>9013</v>
      </c>
      <c r="J132" s="53">
        <v>7</v>
      </c>
      <c r="K132" s="53" t="s">
        <v>31</v>
      </c>
      <c r="L132" s="53">
        <v>1</v>
      </c>
      <c r="M132" s="53"/>
      <c r="N132" s="53"/>
      <c r="O132" s="55">
        <v>12.55</v>
      </c>
      <c r="P132" s="55">
        <v>12.5</v>
      </c>
      <c r="Q132" s="55">
        <f t="shared" si="5"/>
        <v>-5.0000000000000711E-2</v>
      </c>
      <c r="R132" s="55"/>
      <c r="S132" s="55" t="str">
        <f t="shared" si="4"/>
        <v/>
      </c>
      <c r="T132" s="12"/>
      <c r="U132" s="12"/>
      <c r="V132" s="12"/>
      <c r="W132" s="12"/>
      <c r="X132" s="53"/>
      <c r="Y132" s="53"/>
      <c r="Z132" s="54" t="s">
        <v>30</v>
      </c>
      <c r="AA132" s="54">
        <v>1</v>
      </c>
      <c r="AB132" s="56"/>
      <c r="AC132" s="53"/>
      <c r="AD132" s="59"/>
    </row>
    <row r="133" spans="1:30" s="57" customFormat="1" ht="20.25">
      <c r="A133" s="53">
        <v>115</v>
      </c>
      <c r="B133" s="53">
        <v>3</v>
      </c>
      <c r="C133" s="53">
        <v>9</v>
      </c>
      <c r="D133" s="53">
        <v>6</v>
      </c>
      <c r="E133" s="58"/>
      <c r="F133" s="58"/>
      <c r="G133" s="53" t="s">
        <v>38</v>
      </c>
      <c r="H133" s="53">
        <v>1</v>
      </c>
      <c r="I133" s="53">
        <v>9013</v>
      </c>
      <c r="J133" s="53">
        <v>8</v>
      </c>
      <c r="K133" s="53" t="s">
        <v>29</v>
      </c>
      <c r="L133" s="53">
        <v>1</v>
      </c>
      <c r="M133" s="53"/>
      <c r="N133" s="53"/>
      <c r="O133" s="55">
        <v>12.52</v>
      </c>
      <c r="P133" s="55">
        <v>12.5</v>
      </c>
      <c r="Q133" s="55">
        <f t="shared" si="5"/>
        <v>-1.9999999999999574E-2</v>
      </c>
      <c r="R133" s="55"/>
      <c r="S133" s="55" t="str">
        <f t="shared" si="4"/>
        <v/>
      </c>
      <c r="T133" s="12"/>
      <c r="U133" s="12"/>
      <c r="V133" s="12"/>
      <c r="W133" s="12"/>
      <c r="X133" s="53"/>
      <c r="Y133" s="53"/>
      <c r="Z133" s="54" t="s">
        <v>30</v>
      </c>
      <c r="AA133" s="54">
        <v>1</v>
      </c>
      <c r="AB133" s="56"/>
      <c r="AC133" s="53"/>
      <c r="AD133" s="59"/>
    </row>
    <row r="134" spans="1:30" s="57" customFormat="1" ht="20.25">
      <c r="A134" s="53">
        <v>116</v>
      </c>
      <c r="B134" s="53">
        <v>3</v>
      </c>
      <c r="C134" s="53">
        <v>9</v>
      </c>
      <c r="D134" s="53">
        <v>6</v>
      </c>
      <c r="E134" s="58"/>
      <c r="F134" s="58"/>
      <c r="G134" s="53" t="s">
        <v>38</v>
      </c>
      <c r="H134" s="53">
        <v>1</v>
      </c>
      <c r="I134" s="53">
        <v>9013</v>
      </c>
      <c r="J134" s="53">
        <v>8</v>
      </c>
      <c r="K134" s="53" t="s">
        <v>31</v>
      </c>
      <c r="L134" s="53">
        <v>1</v>
      </c>
      <c r="M134" s="53"/>
      <c r="N134" s="53"/>
      <c r="O134" s="55">
        <v>12.54</v>
      </c>
      <c r="P134" s="55">
        <v>12.5</v>
      </c>
      <c r="Q134" s="55">
        <f t="shared" si="5"/>
        <v>-3.9999999999999147E-2</v>
      </c>
      <c r="R134" s="55"/>
      <c r="S134" s="55" t="str">
        <f t="shared" si="4"/>
        <v/>
      </c>
      <c r="T134" s="12"/>
      <c r="U134" s="12"/>
      <c r="V134" s="12"/>
      <c r="W134" s="12"/>
      <c r="X134" s="53"/>
      <c r="Y134" s="53"/>
      <c r="Z134" s="54" t="s">
        <v>30</v>
      </c>
      <c r="AA134" s="54">
        <v>1</v>
      </c>
      <c r="AB134" s="56"/>
      <c r="AC134" s="53"/>
      <c r="AD134" s="59"/>
    </row>
    <row r="135" spans="1:30" s="57" customFormat="1" ht="20.25">
      <c r="A135" s="53">
        <v>117</v>
      </c>
      <c r="B135" s="53">
        <v>3</v>
      </c>
      <c r="C135" s="53">
        <v>9</v>
      </c>
      <c r="D135" s="53">
        <v>6</v>
      </c>
      <c r="E135" s="58"/>
      <c r="F135" s="58"/>
      <c r="G135" s="53" t="s">
        <v>38</v>
      </c>
      <c r="H135" s="53">
        <v>2</v>
      </c>
      <c r="I135" s="53">
        <v>9013</v>
      </c>
      <c r="J135" s="53">
        <v>10</v>
      </c>
      <c r="K135" s="53" t="s">
        <v>29</v>
      </c>
      <c r="L135" s="53">
        <v>1</v>
      </c>
      <c r="M135" s="53"/>
      <c r="N135" s="53"/>
      <c r="O135" s="55">
        <v>8.08</v>
      </c>
      <c r="P135" s="55">
        <v>8.0399999999999991</v>
      </c>
      <c r="Q135" s="55">
        <f t="shared" si="5"/>
        <v>-4.0000000000000924E-2</v>
      </c>
      <c r="R135" s="55"/>
      <c r="S135" s="55" t="str">
        <f t="shared" si="4"/>
        <v/>
      </c>
      <c r="T135" s="12"/>
      <c r="U135" s="12"/>
      <c r="V135" s="12"/>
      <c r="W135" s="12"/>
      <c r="X135" s="53"/>
      <c r="Y135" s="53"/>
      <c r="Z135" s="54">
        <v>1</v>
      </c>
      <c r="AA135" s="54"/>
      <c r="AB135" s="56"/>
      <c r="AC135" s="53"/>
      <c r="AD135" s="59"/>
    </row>
    <row r="136" spans="1:30" s="57" customFormat="1" ht="20.25">
      <c r="A136" s="53">
        <v>118</v>
      </c>
      <c r="B136" s="53">
        <v>3</v>
      </c>
      <c r="C136" s="53">
        <v>9</v>
      </c>
      <c r="D136" s="53">
        <v>6</v>
      </c>
      <c r="E136" s="58"/>
      <c r="F136" s="58"/>
      <c r="G136" s="53" t="s">
        <v>38</v>
      </c>
      <c r="H136" s="53">
        <v>1</v>
      </c>
      <c r="I136" s="53">
        <v>9014</v>
      </c>
      <c r="J136" s="53">
        <v>1</v>
      </c>
      <c r="K136" s="53" t="s">
        <v>29</v>
      </c>
      <c r="L136" s="53">
        <v>1</v>
      </c>
      <c r="M136" s="53"/>
      <c r="N136" s="53"/>
      <c r="O136" s="55">
        <v>8.06</v>
      </c>
      <c r="P136" s="55">
        <v>8</v>
      </c>
      <c r="Q136" s="55">
        <f t="shared" si="5"/>
        <v>-6.0000000000000497E-2</v>
      </c>
      <c r="R136" s="55"/>
      <c r="S136" s="55" t="str">
        <f t="shared" si="4"/>
        <v/>
      </c>
      <c r="T136" s="12"/>
      <c r="U136" s="12"/>
      <c r="V136" s="12"/>
      <c r="W136" s="12"/>
      <c r="X136" s="53"/>
      <c r="Y136" s="53"/>
      <c r="Z136" s="54">
        <v>1</v>
      </c>
      <c r="AA136" s="54"/>
      <c r="AB136" s="56"/>
      <c r="AC136" s="53"/>
      <c r="AD136" s="59"/>
    </row>
    <row r="137" spans="1:30" s="57" customFormat="1" ht="20.25">
      <c r="A137" s="53">
        <v>119</v>
      </c>
      <c r="B137" s="53">
        <v>3</v>
      </c>
      <c r="C137" s="53">
        <v>9</v>
      </c>
      <c r="D137" s="53">
        <v>6</v>
      </c>
      <c r="E137" s="58"/>
      <c r="F137" s="58"/>
      <c r="G137" s="53" t="s">
        <v>38</v>
      </c>
      <c r="H137" s="53">
        <v>2</v>
      </c>
      <c r="I137" s="53">
        <v>9014</v>
      </c>
      <c r="J137" s="53">
        <v>2</v>
      </c>
      <c r="K137" s="53" t="s">
        <v>31</v>
      </c>
      <c r="L137" s="53">
        <v>1</v>
      </c>
      <c r="M137" s="53"/>
      <c r="N137" s="53"/>
      <c r="O137" s="55">
        <v>12.54</v>
      </c>
      <c r="P137" s="55">
        <v>12.5</v>
      </c>
      <c r="Q137" s="55">
        <f t="shared" si="5"/>
        <v>-3.9999999999999147E-2</v>
      </c>
      <c r="R137" s="55"/>
      <c r="S137" s="55" t="str">
        <f t="shared" si="4"/>
        <v/>
      </c>
      <c r="T137" s="12"/>
      <c r="U137" s="12"/>
      <c r="V137" s="12"/>
      <c r="W137" s="12"/>
      <c r="X137" s="53"/>
      <c r="Y137" s="53"/>
      <c r="Z137" s="54" t="s">
        <v>30</v>
      </c>
      <c r="AA137" s="54">
        <v>1</v>
      </c>
      <c r="AB137" s="56"/>
      <c r="AC137" s="53"/>
      <c r="AD137" s="59"/>
    </row>
    <row r="138" spans="1:30" s="57" customFormat="1" ht="22.5" customHeight="1">
      <c r="A138" s="53">
        <v>120</v>
      </c>
      <c r="B138" s="53">
        <v>3</v>
      </c>
      <c r="C138" s="53">
        <v>9</v>
      </c>
      <c r="D138" s="53">
        <v>6</v>
      </c>
      <c r="E138" s="58"/>
      <c r="F138" s="58"/>
      <c r="G138" s="53" t="s">
        <v>38</v>
      </c>
      <c r="H138" s="53">
        <v>2</v>
      </c>
      <c r="I138" s="53">
        <v>9014</v>
      </c>
      <c r="J138" s="53">
        <v>2</v>
      </c>
      <c r="K138" s="53" t="s">
        <v>29</v>
      </c>
      <c r="L138" s="53">
        <v>1</v>
      </c>
      <c r="M138" s="53"/>
      <c r="N138" s="53"/>
      <c r="O138" s="55">
        <v>12.53</v>
      </c>
      <c r="P138" s="55">
        <v>12.5</v>
      </c>
      <c r="Q138" s="55">
        <f t="shared" si="5"/>
        <v>-2.9999999999999361E-2</v>
      </c>
      <c r="R138" s="55"/>
      <c r="S138" s="55" t="str">
        <f t="shared" si="4"/>
        <v/>
      </c>
      <c r="T138" s="12"/>
      <c r="U138" s="12"/>
      <c r="V138" s="12"/>
      <c r="W138" s="12"/>
      <c r="X138" s="53"/>
      <c r="Y138" s="53"/>
      <c r="Z138" s="54" t="s">
        <v>30</v>
      </c>
      <c r="AA138" s="54">
        <v>1</v>
      </c>
      <c r="AB138" s="56"/>
      <c r="AC138" s="53"/>
      <c r="AD138" s="59"/>
    </row>
    <row r="139" spans="1:30" s="57" customFormat="1" ht="20.25">
      <c r="A139" s="53">
        <v>121</v>
      </c>
      <c r="B139" s="53">
        <v>3</v>
      </c>
      <c r="C139" s="53">
        <v>9</v>
      </c>
      <c r="D139" s="53">
        <v>6</v>
      </c>
      <c r="E139" s="58"/>
      <c r="F139" s="58"/>
      <c r="G139" s="53" t="s">
        <v>38</v>
      </c>
      <c r="H139" s="53">
        <v>1</v>
      </c>
      <c r="I139" s="53">
        <v>9014</v>
      </c>
      <c r="J139" s="53">
        <v>3</v>
      </c>
      <c r="K139" s="53" t="s">
        <v>29</v>
      </c>
      <c r="L139" s="53">
        <v>1</v>
      </c>
      <c r="M139" s="53"/>
      <c r="N139" s="53"/>
      <c r="O139" s="55">
        <v>12.54</v>
      </c>
      <c r="P139" s="55">
        <v>12.5</v>
      </c>
      <c r="Q139" s="55">
        <f t="shared" si="5"/>
        <v>-3.9999999999999147E-2</v>
      </c>
      <c r="R139" s="55"/>
      <c r="S139" s="55" t="str">
        <f t="shared" si="4"/>
        <v/>
      </c>
      <c r="T139" s="12"/>
      <c r="U139" s="12"/>
      <c r="V139" s="12"/>
      <c r="W139" s="12"/>
      <c r="X139" s="53"/>
      <c r="Y139" s="53"/>
      <c r="Z139" s="54"/>
      <c r="AA139" s="54">
        <v>1</v>
      </c>
      <c r="AB139" s="56"/>
      <c r="AC139" s="53"/>
      <c r="AD139" s="59"/>
    </row>
    <row r="140" spans="1:30" s="57" customFormat="1" ht="20.25">
      <c r="A140" s="53">
        <v>122</v>
      </c>
      <c r="B140" s="53">
        <v>3</v>
      </c>
      <c r="C140" s="53">
        <v>9</v>
      </c>
      <c r="D140" s="53">
        <v>6</v>
      </c>
      <c r="E140" s="58"/>
      <c r="F140" s="58"/>
      <c r="G140" s="53" t="s">
        <v>38</v>
      </c>
      <c r="H140" s="53">
        <v>1</v>
      </c>
      <c r="I140" s="53">
        <v>9014</v>
      </c>
      <c r="J140" s="53">
        <v>4</v>
      </c>
      <c r="K140" s="53" t="s">
        <v>31</v>
      </c>
      <c r="L140" s="53">
        <v>1</v>
      </c>
      <c r="M140" s="53"/>
      <c r="N140" s="53"/>
      <c r="O140" s="55">
        <v>12.58</v>
      </c>
      <c r="P140" s="55">
        <v>12.54</v>
      </c>
      <c r="Q140" s="55">
        <f t="shared" si="5"/>
        <v>-4.0000000000000924E-2</v>
      </c>
      <c r="R140" s="55"/>
      <c r="S140" s="55" t="str">
        <f t="shared" si="4"/>
        <v/>
      </c>
      <c r="T140" s="12"/>
      <c r="U140" s="12"/>
      <c r="V140" s="12"/>
      <c r="W140" s="12"/>
      <c r="X140" s="53"/>
      <c r="Y140" s="53"/>
      <c r="Z140" s="54" t="s">
        <v>30</v>
      </c>
      <c r="AA140" s="54">
        <v>1</v>
      </c>
      <c r="AB140" s="56"/>
      <c r="AC140" s="53"/>
      <c r="AD140" s="59"/>
    </row>
    <row r="141" spans="1:30" s="57" customFormat="1" ht="20.25">
      <c r="A141" s="53">
        <v>123</v>
      </c>
      <c r="B141" s="53">
        <v>3</v>
      </c>
      <c r="C141" s="53">
        <v>9</v>
      </c>
      <c r="D141" s="53">
        <v>6</v>
      </c>
      <c r="E141" s="58"/>
      <c r="F141" s="58"/>
      <c r="G141" s="53" t="s">
        <v>38</v>
      </c>
      <c r="H141" s="53">
        <v>1</v>
      </c>
      <c r="I141" s="53">
        <v>9014</v>
      </c>
      <c r="J141" s="53">
        <v>4</v>
      </c>
      <c r="K141" s="53" t="s">
        <v>29</v>
      </c>
      <c r="L141" s="53">
        <v>1</v>
      </c>
      <c r="M141" s="53"/>
      <c r="N141" s="53"/>
      <c r="O141" s="55">
        <v>12.54</v>
      </c>
      <c r="P141" s="55">
        <v>12.5</v>
      </c>
      <c r="Q141" s="55">
        <f t="shared" si="5"/>
        <v>-3.9999999999999147E-2</v>
      </c>
      <c r="R141" s="55"/>
      <c r="S141" s="55" t="str">
        <f t="shared" si="4"/>
        <v/>
      </c>
      <c r="T141" s="12"/>
      <c r="U141" s="12"/>
      <c r="V141" s="12"/>
      <c r="W141" s="12"/>
      <c r="X141" s="53"/>
      <c r="Y141" s="53"/>
      <c r="Z141" s="54" t="s">
        <v>30</v>
      </c>
      <c r="AA141" s="54">
        <v>1</v>
      </c>
      <c r="AB141" s="56"/>
      <c r="AC141" s="53"/>
      <c r="AD141" s="59"/>
    </row>
    <row r="142" spans="1:30" s="57" customFormat="1" ht="20.25">
      <c r="A142" s="53">
        <v>124</v>
      </c>
      <c r="B142" s="53">
        <v>3</v>
      </c>
      <c r="C142" s="53">
        <v>9</v>
      </c>
      <c r="D142" s="53">
        <v>6</v>
      </c>
      <c r="E142" s="58"/>
      <c r="F142" s="58"/>
      <c r="G142" s="53" t="s">
        <v>38</v>
      </c>
      <c r="H142" s="53">
        <v>1</v>
      </c>
      <c r="I142" s="53">
        <v>9015</v>
      </c>
      <c r="J142" s="53">
        <v>4</v>
      </c>
      <c r="K142" s="53" t="s">
        <v>31</v>
      </c>
      <c r="L142" s="53">
        <v>1</v>
      </c>
      <c r="M142" s="53"/>
      <c r="N142" s="53"/>
      <c r="O142" s="55">
        <v>12.58</v>
      </c>
      <c r="P142" s="55">
        <v>12.54</v>
      </c>
      <c r="Q142" s="55">
        <f t="shared" ref="Q142:Q180" si="6">P142-O142</f>
        <v>-4.0000000000000924E-2</v>
      </c>
      <c r="R142" s="55"/>
      <c r="S142" s="55" t="str">
        <f t="shared" si="4"/>
        <v/>
      </c>
      <c r="T142" s="12"/>
      <c r="U142" s="12"/>
      <c r="V142" s="12"/>
      <c r="W142" s="12"/>
      <c r="X142" s="53"/>
      <c r="Y142" s="53"/>
      <c r="Z142" s="54" t="s">
        <v>30</v>
      </c>
      <c r="AA142" s="54">
        <v>1</v>
      </c>
      <c r="AB142" s="56"/>
      <c r="AC142" s="53"/>
      <c r="AD142" s="59"/>
    </row>
    <row r="143" spans="1:30" s="57" customFormat="1" ht="20.25">
      <c r="A143" s="53">
        <v>125</v>
      </c>
      <c r="B143" s="53">
        <v>3</v>
      </c>
      <c r="C143" s="53">
        <v>9</v>
      </c>
      <c r="D143" s="53">
        <v>6</v>
      </c>
      <c r="E143" s="58"/>
      <c r="F143" s="58"/>
      <c r="G143" s="53" t="s">
        <v>38</v>
      </c>
      <c r="H143" s="53">
        <v>1</v>
      </c>
      <c r="I143" s="53">
        <v>9015</v>
      </c>
      <c r="J143" s="53">
        <v>4</v>
      </c>
      <c r="K143" s="53" t="s">
        <v>29</v>
      </c>
      <c r="L143" s="53">
        <v>1</v>
      </c>
      <c r="M143" s="53"/>
      <c r="N143" s="53"/>
      <c r="O143" s="55">
        <v>12.5</v>
      </c>
      <c r="P143" s="55">
        <v>12.48</v>
      </c>
      <c r="Q143" s="55">
        <f t="shared" si="6"/>
        <v>-1.9999999999999574E-2</v>
      </c>
      <c r="R143" s="55"/>
      <c r="S143" s="55" t="str">
        <f t="shared" si="4"/>
        <v/>
      </c>
      <c r="T143" s="12"/>
      <c r="U143" s="12"/>
      <c r="V143" s="12"/>
      <c r="W143" s="12"/>
      <c r="X143" s="53"/>
      <c r="Y143" s="53"/>
      <c r="Z143" s="54" t="s">
        <v>30</v>
      </c>
      <c r="AA143" s="54">
        <v>1</v>
      </c>
      <c r="AB143" s="56"/>
      <c r="AC143" s="53"/>
      <c r="AD143" s="59"/>
    </row>
    <row r="144" spans="1:30" s="57" customFormat="1" ht="20.25">
      <c r="A144" s="53">
        <v>126</v>
      </c>
      <c r="B144" s="53">
        <v>3</v>
      </c>
      <c r="C144" s="53">
        <v>9</v>
      </c>
      <c r="D144" s="53">
        <v>6</v>
      </c>
      <c r="E144" s="58"/>
      <c r="F144" s="58"/>
      <c r="G144" s="53" t="s">
        <v>38</v>
      </c>
      <c r="H144" s="53">
        <v>2</v>
      </c>
      <c r="I144" s="53">
        <v>9015</v>
      </c>
      <c r="J144" s="53">
        <v>5</v>
      </c>
      <c r="K144" s="53" t="s">
        <v>29</v>
      </c>
      <c r="L144" s="53">
        <v>1</v>
      </c>
      <c r="M144" s="53"/>
      <c r="N144" s="53"/>
      <c r="O144" s="55">
        <v>12.5</v>
      </c>
      <c r="P144" s="55">
        <v>12.47</v>
      </c>
      <c r="Q144" s="55">
        <f t="shared" si="6"/>
        <v>-2.9999999999999361E-2</v>
      </c>
      <c r="R144" s="55"/>
      <c r="S144" s="55" t="str">
        <f t="shared" ref="S144:S206" si="7">IF(R144&gt;0,R144-P144,"")</f>
        <v/>
      </c>
      <c r="T144" s="12"/>
      <c r="U144" s="12"/>
      <c r="V144" s="12"/>
      <c r="W144" s="12"/>
      <c r="X144" s="53"/>
      <c r="Y144" s="53"/>
      <c r="Z144" s="54"/>
      <c r="AA144" s="54">
        <v>1</v>
      </c>
      <c r="AB144" s="56"/>
      <c r="AC144" s="53"/>
      <c r="AD144" s="59"/>
    </row>
    <row r="145" spans="1:30" s="57" customFormat="1" ht="20.25">
      <c r="A145" s="53">
        <v>127</v>
      </c>
      <c r="B145" s="53">
        <v>3</v>
      </c>
      <c r="C145" s="53">
        <v>9</v>
      </c>
      <c r="D145" s="53">
        <v>6</v>
      </c>
      <c r="E145" s="58"/>
      <c r="F145" s="58"/>
      <c r="G145" s="53" t="s">
        <v>38</v>
      </c>
      <c r="H145" s="53">
        <v>2</v>
      </c>
      <c r="I145" s="53">
        <v>9015</v>
      </c>
      <c r="J145" s="53">
        <v>5</v>
      </c>
      <c r="K145" s="53" t="s">
        <v>31</v>
      </c>
      <c r="L145" s="53">
        <v>1</v>
      </c>
      <c r="M145" s="53"/>
      <c r="N145" s="53"/>
      <c r="O145" s="55">
        <v>12.54</v>
      </c>
      <c r="P145" s="55">
        <v>12.5</v>
      </c>
      <c r="Q145" s="55">
        <f t="shared" si="6"/>
        <v>-3.9999999999999147E-2</v>
      </c>
      <c r="R145" s="55"/>
      <c r="S145" s="55" t="str">
        <f t="shared" si="7"/>
        <v/>
      </c>
      <c r="T145" s="12"/>
      <c r="U145" s="12"/>
      <c r="V145" s="12"/>
      <c r="W145" s="12"/>
      <c r="X145" s="53"/>
      <c r="Y145" s="53"/>
      <c r="Z145" s="54"/>
      <c r="AA145" s="54">
        <v>1</v>
      </c>
      <c r="AB145" s="56"/>
      <c r="AC145" s="53"/>
      <c r="AD145" s="59"/>
    </row>
    <row r="146" spans="1:30" s="57" customFormat="1" ht="20.25">
      <c r="A146" s="53">
        <v>128</v>
      </c>
      <c r="B146" s="53">
        <v>3</v>
      </c>
      <c r="C146" s="53">
        <v>9</v>
      </c>
      <c r="D146" s="53">
        <v>6</v>
      </c>
      <c r="E146" s="58"/>
      <c r="F146" s="58"/>
      <c r="G146" s="53" t="s">
        <v>38</v>
      </c>
      <c r="H146" s="53">
        <v>1</v>
      </c>
      <c r="I146" s="53">
        <v>9015</v>
      </c>
      <c r="J146" s="53">
        <v>8</v>
      </c>
      <c r="K146" s="53" t="s">
        <v>29</v>
      </c>
      <c r="L146" s="53">
        <v>1</v>
      </c>
      <c r="M146" s="53"/>
      <c r="N146" s="53"/>
      <c r="O146" s="55">
        <v>12.54</v>
      </c>
      <c r="P146" s="55">
        <v>12.5</v>
      </c>
      <c r="Q146" s="55">
        <f t="shared" si="6"/>
        <v>-3.9999999999999147E-2</v>
      </c>
      <c r="R146" s="55"/>
      <c r="S146" s="55" t="str">
        <f t="shared" si="7"/>
        <v/>
      </c>
      <c r="T146" s="12"/>
      <c r="U146" s="12"/>
      <c r="V146" s="12"/>
      <c r="W146" s="12"/>
      <c r="X146" s="53"/>
      <c r="Y146" s="53"/>
      <c r="Z146" s="54" t="s">
        <v>30</v>
      </c>
      <c r="AA146" s="54">
        <v>1</v>
      </c>
      <c r="AB146" s="56"/>
      <c r="AC146" s="53"/>
      <c r="AD146" s="59"/>
    </row>
    <row r="147" spans="1:30" s="57" customFormat="1" ht="20.25">
      <c r="A147" s="53">
        <v>129</v>
      </c>
      <c r="B147" s="53">
        <v>3</v>
      </c>
      <c r="C147" s="53">
        <v>9</v>
      </c>
      <c r="D147" s="53">
        <v>6</v>
      </c>
      <c r="E147" s="58"/>
      <c r="F147" s="58"/>
      <c r="G147" s="53" t="s">
        <v>38</v>
      </c>
      <c r="H147" s="53">
        <v>1</v>
      </c>
      <c r="I147" s="53">
        <v>9015</v>
      </c>
      <c r="J147" s="53">
        <v>8</v>
      </c>
      <c r="K147" s="53" t="s">
        <v>31</v>
      </c>
      <c r="L147" s="53">
        <v>1</v>
      </c>
      <c r="M147" s="53"/>
      <c r="N147" s="53"/>
      <c r="O147" s="55">
        <v>12.54</v>
      </c>
      <c r="P147" s="55">
        <v>12.5</v>
      </c>
      <c r="Q147" s="55">
        <f t="shared" si="6"/>
        <v>-3.9999999999999147E-2</v>
      </c>
      <c r="R147" s="55"/>
      <c r="S147" s="55" t="str">
        <f t="shared" si="7"/>
        <v/>
      </c>
      <c r="T147" s="12"/>
      <c r="U147" s="12"/>
      <c r="V147" s="12"/>
      <c r="W147" s="12"/>
      <c r="X147" s="53"/>
      <c r="Y147" s="53"/>
      <c r="Z147" s="54" t="s">
        <v>30</v>
      </c>
      <c r="AA147" s="54">
        <v>1</v>
      </c>
      <c r="AB147" s="56"/>
      <c r="AC147" s="53"/>
      <c r="AD147" s="59"/>
    </row>
    <row r="148" spans="1:30" s="57" customFormat="1" ht="20.25">
      <c r="A148" s="53">
        <v>130</v>
      </c>
      <c r="B148" s="53">
        <v>3</v>
      </c>
      <c r="C148" s="53">
        <v>9</v>
      </c>
      <c r="D148" s="53">
        <v>6</v>
      </c>
      <c r="E148" s="58"/>
      <c r="F148" s="58"/>
      <c r="G148" s="53" t="s">
        <v>38</v>
      </c>
      <c r="H148" s="53">
        <v>2</v>
      </c>
      <c r="I148" s="53">
        <v>9015</v>
      </c>
      <c r="J148" s="53">
        <v>9</v>
      </c>
      <c r="K148" s="53" t="s">
        <v>31</v>
      </c>
      <c r="L148" s="53">
        <v>1</v>
      </c>
      <c r="M148" s="53"/>
      <c r="N148" s="53"/>
      <c r="O148" s="55">
        <v>12.54</v>
      </c>
      <c r="P148" s="55">
        <v>12.5</v>
      </c>
      <c r="Q148" s="55">
        <f t="shared" si="6"/>
        <v>-3.9999999999999147E-2</v>
      </c>
      <c r="R148" s="55"/>
      <c r="S148" s="55" t="str">
        <f t="shared" si="7"/>
        <v/>
      </c>
      <c r="T148" s="12"/>
      <c r="U148" s="12"/>
      <c r="V148" s="12"/>
      <c r="W148" s="12"/>
      <c r="X148" s="53"/>
      <c r="Y148" s="53"/>
      <c r="Z148" s="54"/>
      <c r="AA148" s="54">
        <v>1</v>
      </c>
      <c r="AB148" s="56"/>
      <c r="AC148" s="53"/>
      <c r="AD148" s="59"/>
    </row>
    <row r="149" spans="1:30" s="57" customFormat="1" ht="20.25">
      <c r="A149" s="53">
        <v>131</v>
      </c>
      <c r="B149" s="53">
        <v>3</v>
      </c>
      <c r="C149" s="53">
        <v>9</v>
      </c>
      <c r="D149" s="53">
        <v>6</v>
      </c>
      <c r="E149" s="58"/>
      <c r="F149" s="58"/>
      <c r="G149" s="53" t="s">
        <v>38</v>
      </c>
      <c r="H149" s="53">
        <v>2</v>
      </c>
      <c r="I149" s="53">
        <v>9015</v>
      </c>
      <c r="J149" s="53">
        <v>9</v>
      </c>
      <c r="K149" s="53" t="s">
        <v>29</v>
      </c>
      <c r="L149" s="53">
        <v>1</v>
      </c>
      <c r="M149" s="53"/>
      <c r="N149" s="53"/>
      <c r="O149" s="55">
        <v>12.58</v>
      </c>
      <c r="P149" s="55">
        <v>12.54</v>
      </c>
      <c r="Q149" s="55">
        <f t="shared" si="6"/>
        <v>-4.0000000000000924E-2</v>
      </c>
      <c r="R149" s="55"/>
      <c r="S149" s="55" t="str">
        <f t="shared" si="7"/>
        <v/>
      </c>
      <c r="T149" s="12"/>
      <c r="U149" s="12"/>
      <c r="V149" s="12"/>
      <c r="W149" s="12"/>
      <c r="X149" s="53"/>
      <c r="Y149" s="53"/>
      <c r="Z149" s="54"/>
      <c r="AA149" s="54">
        <v>1</v>
      </c>
      <c r="AB149" s="56"/>
      <c r="AC149" s="53"/>
      <c r="AD149" s="59"/>
    </row>
    <row r="150" spans="1:30" s="57" customFormat="1" ht="20.25">
      <c r="A150" s="53">
        <v>132</v>
      </c>
      <c r="B150" s="53">
        <v>3</v>
      </c>
      <c r="C150" s="53">
        <v>9</v>
      </c>
      <c r="D150" s="53">
        <v>6</v>
      </c>
      <c r="E150" s="58"/>
      <c r="F150" s="58"/>
      <c r="G150" s="53" t="s">
        <v>38</v>
      </c>
      <c r="H150" s="53">
        <v>1</v>
      </c>
      <c r="I150" s="53">
        <v>9015</v>
      </c>
      <c r="J150" s="53">
        <v>9</v>
      </c>
      <c r="K150" s="53" t="s">
        <v>31</v>
      </c>
      <c r="L150" s="53">
        <v>1</v>
      </c>
      <c r="M150" s="53"/>
      <c r="N150" s="53"/>
      <c r="O150" s="55">
        <v>8.6300000000000008</v>
      </c>
      <c r="P150" s="55">
        <v>8.6</v>
      </c>
      <c r="Q150" s="55">
        <f t="shared" si="6"/>
        <v>-3.0000000000001137E-2</v>
      </c>
      <c r="R150" s="55"/>
      <c r="S150" s="55" t="str">
        <f t="shared" si="7"/>
        <v/>
      </c>
      <c r="T150" s="12"/>
      <c r="U150" s="12"/>
      <c r="V150" s="12"/>
      <c r="W150" s="12"/>
      <c r="X150" s="53"/>
      <c r="Y150" s="53"/>
      <c r="Z150" s="54">
        <v>1</v>
      </c>
      <c r="AA150" s="54"/>
      <c r="AB150" s="56"/>
      <c r="AC150" s="53"/>
      <c r="AD150" s="59"/>
    </row>
    <row r="151" spans="1:30" s="57" customFormat="1" ht="20.25" customHeight="1">
      <c r="A151" s="53">
        <v>133</v>
      </c>
      <c r="B151" s="53">
        <v>3</v>
      </c>
      <c r="C151" s="53">
        <v>9</v>
      </c>
      <c r="D151" s="53">
        <v>6</v>
      </c>
      <c r="E151" s="58"/>
      <c r="F151" s="58"/>
      <c r="G151" s="53" t="s">
        <v>39</v>
      </c>
      <c r="H151" s="53">
        <v>2</v>
      </c>
      <c r="I151" s="53">
        <v>9016</v>
      </c>
      <c r="J151" s="53">
        <v>6</v>
      </c>
      <c r="K151" s="53" t="s">
        <v>31</v>
      </c>
      <c r="L151" s="53">
        <v>1</v>
      </c>
      <c r="M151" s="53"/>
      <c r="N151" s="53"/>
      <c r="O151" s="55">
        <v>8.06</v>
      </c>
      <c r="P151" s="55">
        <v>8.0399999999999991</v>
      </c>
      <c r="Q151" s="55">
        <f t="shared" si="6"/>
        <v>-2.000000000000135E-2</v>
      </c>
      <c r="R151" s="55"/>
      <c r="S151" s="55" t="str">
        <f t="shared" si="7"/>
        <v/>
      </c>
      <c r="T151" s="12"/>
      <c r="U151" s="12"/>
      <c r="V151" s="12"/>
      <c r="W151" s="12"/>
      <c r="X151" s="53"/>
      <c r="Y151" s="53"/>
      <c r="Z151" s="54">
        <v>1</v>
      </c>
      <c r="AA151" s="54"/>
      <c r="AB151" s="56"/>
      <c r="AC151" s="53"/>
      <c r="AD151" s="59"/>
    </row>
    <row r="152" spans="1:30" s="57" customFormat="1" ht="20.25" customHeight="1">
      <c r="A152" s="53">
        <v>134</v>
      </c>
      <c r="B152" s="53">
        <v>3</v>
      </c>
      <c r="C152" s="53">
        <v>9</v>
      </c>
      <c r="D152" s="53">
        <v>6</v>
      </c>
      <c r="E152" s="58"/>
      <c r="F152" s="58"/>
      <c r="G152" s="53" t="s">
        <v>39</v>
      </c>
      <c r="H152" s="53">
        <v>1</v>
      </c>
      <c r="I152" s="53">
        <v>9016</v>
      </c>
      <c r="J152" s="53">
        <v>7</v>
      </c>
      <c r="K152" s="53" t="s">
        <v>31</v>
      </c>
      <c r="L152" s="53">
        <v>1</v>
      </c>
      <c r="M152" s="53"/>
      <c r="N152" s="53"/>
      <c r="O152" s="55">
        <v>8.0299999999999994</v>
      </c>
      <c r="P152" s="55">
        <v>8</v>
      </c>
      <c r="Q152" s="55">
        <f t="shared" si="6"/>
        <v>-2.9999999999999361E-2</v>
      </c>
      <c r="R152" s="55"/>
      <c r="S152" s="55" t="str">
        <f t="shared" si="7"/>
        <v/>
      </c>
      <c r="T152" s="12"/>
      <c r="U152" s="12"/>
      <c r="V152" s="12"/>
      <c r="W152" s="12"/>
      <c r="X152" s="53"/>
      <c r="Y152" s="53"/>
      <c r="Z152" s="54">
        <v>1</v>
      </c>
      <c r="AA152" s="54" t="s">
        <v>30</v>
      </c>
      <c r="AB152" s="56"/>
      <c r="AC152" s="53"/>
      <c r="AD152" s="59"/>
    </row>
    <row r="153" spans="1:30" s="57" customFormat="1" ht="20.25" customHeight="1">
      <c r="A153" s="53">
        <v>135</v>
      </c>
      <c r="B153" s="53">
        <v>3</v>
      </c>
      <c r="C153" s="53">
        <v>9</v>
      </c>
      <c r="D153" s="53">
        <v>6</v>
      </c>
      <c r="E153" s="58"/>
      <c r="F153" s="58"/>
      <c r="G153" s="53" t="s">
        <v>39</v>
      </c>
      <c r="H153" s="53">
        <v>2</v>
      </c>
      <c r="I153" s="53">
        <v>9017</v>
      </c>
      <c r="J153" s="53">
        <v>1</v>
      </c>
      <c r="K153" s="53" t="s">
        <v>29</v>
      </c>
      <c r="L153" s="53">
        <v>1</v>
      </c>
      <c r="M153" s="53"/>
      <c r="N153" s="53"/>
      <c r="O153" s="55">
        <v>8.08</v>
      </c>
      <c r="P153" s="55">
        <v>8</v>
      </c>
      <c r="Q153" s="55">
        <f t="shared" si="6"/>
        <v>-8.0000000000000071E-2</v>
      </c>
      <c r="R153" s="55"/>
      <c r="S153" s="55" t="str">
        <f t="shared" si="7"/>
        <v/>
      </c>
      <c r="T153" s="12"/>
      <c r="U153" s="12"/>
      <c r="V153" s="12"/>
      <c r="W153" s="12"/>
      <c r="X153" s="53"/>
      <c r="Y153" s="53"/>
      <c r="Z153" s="54">
        <v>1</v>
      </c>
      <c r="AA153" s="54"/>
      <c r="AB153" s="56"/>
      <c r="AC153" s="53"/>
      <c r="AD153" s="59"/>
    </row>
    <row r="154" spans="1:30" s="57" customFormat="1" ht="20.25" customHeight="1">
      <c r="A154" s="53">
        <v>136</v>
      </c>
      <c r="B154" s="53">
        <v>3</v>
      </c>
      <c r="C154" s="53">
        <v>9</v>
      </c>
      <c r="D154" s="53">
        <v>6</v>
      </c>
      <c r="E154" s="58"/>
      <c r="F154" s="58"/>
      <c r="G154" s="53" t="s">
        <v>39</v>
      </c>
      <c r="H154" s="53">
        <v>2</v>
      </c>
      <c r="I154" s="53">
        <v>9017</v>
      </c>
      <c r="J154" s="53">
        <v>3</v>
      </c>
      <c r="K154" s="53" t="s">
        <v>29</v>
      </c>
      <c r="L154" s="53">
        <v>1</v>
      </c>
      <c r="M154" s="53"/>
      <c r="N154" s="53"/>
      <c r="O154" s="55">
        <v>10</v>
      </c>
      <c r="P154" s="55">
        <v>9.9600000000000009</v>
      </c>
      <c r="Q154" s="55">
        <f t="shared" si="6"/>
        <v>-3.9999999999999147E-2</v>
      </c>
      <c r="R154" s="55"/>
      <c r="S154" s="55" t="str">
        <f t="shared" si="7"/>
        <v/>
      </c>
      <c r="T154" s="12"/>
      <c r="U154" s="12"/>
      <c r="V154" s="12"/>
      <c r="W154" s="12"/>
      <c r="X154" s="53"/>
      <c r="Y154" s="53"/>
      <c r="Z154" s="54">
        <v>1</v>
      </c>
      <c r="AA154" s="54"/>
      <c r="AB154" s="56"/>
      <c r="AC154" s="53"/>
      <c r="AD154" s="59"/>
    </row>
    <row r="155" spans="1:30" s="57" customFormat="1" ht="20.25" customHeight="1">
      <c r="A155" s="53">
        <v>137</v>
      </c>
      <c r="B155" s="53">
        <v>3</v>
      </c>
      <c r="C155" s="53">
        <v>9</v>
      </c>
      <c r="D155" s="53">
        <v>6</v>
      </c>
      <c r="E155" s="58"/>
      <c r="F155" s="58"/>
      <c r="G155" s="53" t="s">
        <v>39</v>
      </c>
      <c r="H155" s="53">
        <v>2</v>
      </c>
      <c r="I155" s="53">
        <v>9017</v>
      </c>
      <c r="J155" s="53">
        <v>4</v>
      </c>
      <c r="K155" s="53" t="s">
        <v>31</v>
      </c>
      <c r="L155" s="53">
        <v>1</v>
      </c>
      <c r="M155" s="53"/>
      <c r="N155" s="53"/>
      <c r="O155" s="55">
        <v>8.06</v>
      </c>
      <c r="P155" s="55">
        <v>8</v>
      </c>
      <c r="Q155" s="55">
        <f t="shared" si="6"/>
        <v>-6.0000000000000497E-2</v>
      </c>
      <c r="R155" s="55"/>
      <c r="S155" s="55" t="str">
        <f t="shared" si="7"/>
        <v/>
      </c>
      <c r="T155" s="12"/>
      <c r="U155" s="12"/>
      <c r="V155" s="12"/>
      <c r="W155" s="12"/>
      <c r="X155" s="53"/>
      <c r="Y155" s="53"/>
      <c r="Z155" s="54">
        <v>1</v>
      </c>
      <c r="AA155" s="54"/>
      <c r="AB155" s="56"/>
      <c r="AC155" s="53"/>
      <c r="AD155" s="59"/>
    </row>
    <row r="156" spans="1:30" s="57" customFormat="1" ht="20.25" customHeight="1">
      <c r="A156" s="53">
        <v>138</v>
      </c>
      <c r="B156" s="53">
        <v>3</v>
      </c>
      <c r="C156" s="53">
        <v>9</v>
      </c>
      <c r="D156" s="53">
        <v>6</v>
      </c>
      <c r="E156" s="58"/>
      <c r="F156" s="58"/>
      <c r="G156" s="53" t="s">
        <v>39</v>
      </c>
      <c r="H156" s="53">
        <v>1</v>
      </c>
      <c r="I156" s="53">
        <v>9017</v>
      </c>
      <c r="J156" s="53">
        <v>4</v>
      </c>
      <c r="K156" s="53" t="s">
        <v>31</v>
      </c>
      <c r="L156" s="53">
        <v>1</v>
      </c>
      <c r="M156" s="53"/>
      <c r="N156" s="53"/>
      <c r="O156" s="55">
        <v>8.06</v>
      </c>
      <c r="P156" s="55">
        <v>8.0299999999999994</v>
      </c>
      <c r="Q156" s="55">
        <f t="shared" si="6"/>
        <v>-3.0000000000001137E-2</v>
      </c>
      <c r="R156" s="55"/>
      <c r="S156" s="55" t="str">
        <f t="shared" si="7"/>
        <v/>
      </c>
      <c r="T156" s="12"/>
      <c r="U156" s="12"/>
      <c r="V156" s="12"/>
      <c r="W156" s="12"/>
      <c r="X156" s="53"/>
      <c r="Y156" s="53"/>
      <c r="Z156" s="54">
        <v>1</v>
      </c>
      <c r="AA156" s="54"/>
      <c r="AB156" s="56"/>
      <c r="AC156" s="53"/>
      <c r="AD156" s="59"/>
    </row>
    <row r="157" spans="1:30" s="57" customFormat="1" ht="20.25" customHeight="1">
      <c r="A157" s="53">
        <v>139</v>
      </c>
      <c r="B157" s="53">
        <v>3</v>
      </c>
      <c r="C157" s="53">
        <v>9</v>
      </c>
      <c r="D157" s="53">
        <v>6</v>
      </c>
      <c r="E157" s="58"/>
      <c r="F157" s="58"/>
      <c r="G157" s="53" t="s">
        <v>39</v>
      </c>
      <c r="H157" s="53">
        <v>1</v>
      </c>
      <c r="I157" s="53">
        <v>9018</v>
      </c>
      <c r="J157" s="53">
        <v>1</v>
      </c>
      <c r="K157" s="53" t="s">
        <v>29</v>
      </c>
      <c r="L157" s="53">
        <v>1</v>
      </c>
      <c r="M157" s="53"/>
      <c r="N157" s="53"/>
      <c r="O157" s="55">
        <v>8.16</v>
      </c>
      <c r="P157" s="55">
        <v>8.14</v>
      </c>
      <c r="Q157" s="55">
        <f t="shared" si="6"/>
        <v>-1.9999999999999574E-2</v>
      </c>
      <c r="R157" s="55"/>
      <c r="S157" s="55" t="str">
        <f t="shared" si="7"/>
        <v/>
      </c>
      <c r="T157" s="12"/>
      <c r="U157" s="12"/>
      <c r="V157" s="12"/>
      <c r="W157" s="12"/>
      <c r="X157" s="53"/>
      <c r="Y157" s="53"/>
      <c r="Z157" s="54">
        <v>1</v>
      </c>
      <c r="AA157" s="54" t="s">
        <v>30</v>
      </c>
      <c r="AB157" s="56"/>
      <c r="AC157" s="53"/>
      <c r="AD157" s="59"/>
    </row>
    <row r="158" spans="1:30" s="57" customFormat="1" ht="20.25" customHeight="1">
      <c r="A158" s="53">
        <v>140</v>
      </c>
      <c r="B158" s="53">
        <v>3</v>
      </c>
      <c r="C158" s="53">
        <v>9</v>
      </c>
      <c r="D158" s="53">
        <v>6</v>
      </c>
      <c r="E158" s="58"/>
      <c r="F158" s="58"/>
      <c r="G158" s="53" t="s">
        <v>39</v>
      </c>
      <c r="H158" s="53">
        <v>2</v>
      </c>
      <c r="I158" s="53">
        <v>9018</v>
      </c>
      <c r="J158" s="53">
        <v>1</v>
      </c>
      <c r="K158" s="53" t="s">
        <v>29</v>
      </c>
      <c r="L158" s="53">
        <v>1</v>
      </c>
      <c r="M158" s="53"/>
      <c r="N158" s="53"/>
      <c r="O158" s="55">
        <v>8.94</v>
      </c>
      <c r="P158" s="55">
        <v>8.9</v>
      </c>
      <c r="Q158" s="55">
        <f t="shared" si="6"/>
        <v>-3.9999999999999147E-2</v>
      </c>
      <c r="R158" s="55"/>
      <c r="S158" s="55" t="str">
        <f t="shared" si="7"/>
        <v/>
      </c>
      <c r="T158" s="12"/>
      <c r="U158" s="12"/>
      <c r="V158" s="12"/>
      <c r="W158" s="12"/>
      <c r="X158" s="53"/>
      <c r="Y158" s="53"/>
      <c r="Z158" s="54">
        <v>1</v>
      </c>
      <c r="AA158" s="54" t="s">
        <v>30</v>
      </c>
      <c r="AB158" s="56"/>
      <c r="AC158" s="53"/>
      <c r="AD158" s="59"/>
    </row>
    <row r="159" spans="1:30" s="57" customFormat="1" ht="30.75" customHeight="1">
      <c r="A159" s="53">
        <v>141</v>
      </c>
      <c r="B159" s="53">
        <v>3</v>
      </c>
      <c r="C159" s="53">
        <v>9</v>
      </c>
      <c r="D159" s="53">
        <v>6</v>
      </c>
      <c r="E159" s="58"/>
      <c r="F159" s="58"/>
      <c r="G159" s="53" t="s">
        <v>39</v>
      </c>
      <c r="H159" s="53">
        <v>1</v>
      </c>
      <c r="I159" s="53">
        <v>9018</v>
      </c>
      <c r="J159" s="53">
        <v>3</v>
      </c>
      <c r="K159" s="53" t="s">
        <v>29</v>
      </c>
      <c r="L159" s="53">
        <v>1</v>
      </c>
      <c r="M159" s="53"/>
      <c r="N159" s="53"/>
      <c r="O159" s="55">
        <v>8.14</v>
      </c>
      <c r="P159" s="55">
        <v>8.1</v>
      </c>
      <c r="Q159" s="55">
        <f t="shared" si="6"/>
        <v>-4.0000000000000924E-2</v>
      </c>
      <c r="R159" s="55"/>
      <c r="S159" s="55" t="str">
        <f t="shared" si="7"/>
        <v/>
      </c>
      <c r="T159" s="12"/>
      <c r="U159" s="12"/>
      <c r="V159" s="12"/>
      <c r="W159" s="12"/>
      <c r="X159" s="53"/>
      <c r="Y159" s="53"/>
      <c r="Z159" s="54">
        <v>1</v>
      </c>
      <c r="AA159" s="54"/>
      <c r="AB159" s="56"/>
      <c r="AC159" s="53"/>
      <c r="AD159" s="59"/>
    </row>
    <row r="160" spans="1:30" s="57" customFormat="1" ht="20.25" customHeight="1">
      <c r="A160" s="53">
        <v>142</v>
      </c>
      <c r="B160" s="53">
        <v>3</v>
      </c>
      <c r="C160" s="53">
        <v>9</v>
      </c>
      <c r="D160" s="53">
        <v>6</v>
      </c>
      <c r="E160" s="58"/>
      <c r="F160" s="58"/>
      <c r="G160" s="53" t="s">
        <v>39</v>
      </c>
      <c r="H160" s="53">
        <v>1</v>
      </c>
      <c r="I160" s="53">
        <v>9018</v>
      </c>
      <c r="J160" s="53">
        <v>5</v>
      </c>
      <c r="K160" s="53" t="s">
        <v>29</v>
      </c>
      <c r="L160" s="53">
        <v>1</v>
      </c>
      <c r="M160" s="53"/>
      <c r="N160" s="53"/>
      <c r="O160" s="55">
        <v>8.5399999999999991</v>
      </c>
      <c r="P160" s="55">
        <v>8.5</v>
      </c>
      <c r="Q160" s="55">
        <f t="shared" si="6"/>
        <v>-3.9999999999999147E-2</v>
      </c>
      <c r="R160" s="55"/>
      <c r="S160" s="55" t="str">
        <f t="shared" si="7"/>
        <v/>
      </c>
      <c r="T160" s="12"/>
      <c r="U160" s="12"/>
      <c r="V160" s="12"/>
      <c r="W160" s="12"/>
      <c r="X160" s="53"/>
      <c r="Y160" s="53"/>
      <c r="Z160" s="54">
        <v>1</v>
      </c>
      <c r="AA160" s="54"/>
      <c r="AB160" s="56"/>
      <c r="AC160" s="53"/>
      <c r="AD160" s="59"/>
    </row>
    <row r="161" spans="1:30" s="57" customFormat="1" ht="20.25" customHeight="1">
      <c r="A161" s="53">
        <v>143</v>
      </c>
      <c r="B161" s="53">
        <v>3</v>
      </c>
      <c r="C161" s="53">
        <v>9</v>
      </c>
      <c r="D161" s="53">
        <v>6</v>
      </c>
      <c r="E161" s="58"/>
      <c r="F161" s="58"/>
      <c r="G161" s="53" t="s">
        <v>39</v>
      </c>
      <c r="H161" s="53">
        <v>2</v>
      </c>
      <c r="I161" s="53">
        <v>9018</v>
      </c>
      <c r="J161" s="53">
        <v>8</v>
      </c>
      <c r="K161" s="53" t="s">
        <v>29</v>
      </c>
      <c r="L161" s="53">
        <v>1</v>
      </c>
      <c r="M161" s="53">
        <v>1</v>
      </c>
      <c r="N161" s="53"/>
      <c r="O161" s="55">
        <v>9.01</v>
      </c>
      <c r="P161" s="55">
        <v>8.94</v>
      </c>
      <c r="Q161" s="55">
        <f t="shared" si="6"/>
        <v>-7.0000000000000284E-2</v>
      </c>
      <c r="R161" s="55"/>
      <c r="S161" s="55" t="str">
        <f t="shared" si="7"/>
        <v/>
      </c>
      <c r="T161" s="12"/>
      <c r="U161" s="12"/>
      <c r="V161" s="12"/>
      <c r="W161" s="12"/>
      <c r="X161" s="53"/>
      <c r="Y161" s="53"/>
      <c r="Z161" s="54">
        <v>1</v>
      </c>
      <c r="AA161" s="54"/>
      <c r="AB161" s="56"/>
      <c r="AC161" s="53"/>
      <c r="AD161" s="59"/>
    </row>
    <row r="162" spans="1:30" s="57" customFormat="1" ht="20.25" customHeight="1">
      <c r="A162" s="53">
        <v>144</v>
      </c>
      <c r="B162" s="53">
        <v>3</v>
      </c>
      <c r="C162" s="53">
        <v>9</v>
      </c>
      <c r="D162" s="53">
        <v>6</v>
      </c>
      <c r="E162" s="58"/>
      <c r="F162" s="58"/>
      <c r="G162" s="53" t="s">
        <v>39</v>
      </c>
      <c r="H162" s="53">
        <v>1</v>
      </c>
      <c r="I162" s="53">
        <v>9018</v>
      </c>
      <c r="J162" s="53">
        <v>9</v>
      </c>
      <c r="K162" s="53" t="s">
        <v>29</v>
      </c>
      <c r="L162" s="53">
        <v>1</v>
      </c>
      <c r="M162" s="53"/>
      <c r="N162" s="53"/>
      <c r="O162" s="55">
        <v>8.0399999999999991</v>
      </c>
      <c r="P162" s="55">
        <v>8</v>
      </c>
      <c r="Q162" s="55">
        <f t="shared" si="6"/>
        <v>-3.9999999999999147E-2</v>
      </c>
      <c r="R162" s="55"/>
      <c r="S162" s="55" t="str">
        <f t="shared" si="7"/>
        <v/>
      </c>
      <c r="T162" s="12"/>
      <c r="U162" s="12"/>
      <c r="V162" s="12"/>
      <c r="W162" s="12"/>
      <c r="X162" s="53"/>
      <c r="Y162" s="53"/>
      <c r="Z162" s="54">
        <v>1</v>
      </c>
      <c r="AA162" s="54" t="s">
        <v>30</v>
      </c>
      <c r="AB162" s="56"/>
      <c r="AC162" s="53"/>
      <c r="AD162" s="59"/>
    </row>
    <row r="163" spans="1:30" s="57" customFormat="1" ht="20.25" customHeight="1">
      <c r="A163" s="53">
        <v>145</v>
      </c>
      <c r="B163" s="53">
        <v>3</v>
      </c>
      <c r="C163" s="53">
        <v>9</v>
      </c>
      <c r="D163" s="53">
        <v>6</v>
      </c>
      <c r="E163" s="58"/>
      <c r="F163" s="58"/>
      <c r="G163" s="53" t="s">
        <v>39</v>
      </c>
      <c r="H163" s="53">
        <v>1</v>
      </c>
      <c r="I163" s="53">
        <v>9019</v>
      </c>
      <c r="J163" s="53">
        <v>3</v>
      </c>
      <c r="K163" s="53" t="s">
        <v>29</v>
      </c>
      <c r="L163" s="53">
        <v>1</v>
      </c>
      <c r="M163" s="53"/>
      <c r="N163" s="53"/>
      <c r="O163" s="55">
        <v>8.1199999999999992</v>
      </c>
      <c r="P163" s="55">
        <v>8.09</v>
      </c>
      <c r="Q163" s="55">
        <f t="shared" si="6"/>
        <v>-2.9999999999999361E-2</v>
      </c>
      <c r="R163" s="55"/>
      <c r="S163" s="55" t="str">
        <f t="shared" si="7"/>
        <v/>
      </c>
      <c r="T163" s="12"/>
      <c r="U163" s="12"/>
      <c r="V163" s="12"/>
      <c r="W163" s="12"/>
      <c r="X163" s="53"/>
      <c r="Y163" s="53"/>
      <c r="Z163" s="54">
        <v>1</v>
      </c>
      <c r="AA163" s="54"/>
      <c r="AB163" s="56"/>
      <c r="AC163" s="53"/>
      <c r="AD163" s="59"/>
    </row>
    <row r="164" spans="1:30" s="57" customFormat="1" ht="20.25" customHeight="1">
      <c r="A164" s="53">
        <v>146</v>
      </c>
      <c r="B164" s="53">
        <v>3</v>
      </c>
      <c r="C164" s="53">
        <v>9</v>
      </c>
      <c r="D164" s="53">
        <v>6</v>
      </c>
      <c r="E164" s="58"/>
      <c r="F164" s="58"/>
      <c r="G164" s="53" t="s">
        <v>39</v>
      </c>
      <c r="H164" s="53">
        <v>2</v>
      </c>
      <c r="I164" s="53">
        <v>9019</v>
      </c>
      <c r="J164" s="53">
        <v>5</v>
      </c>
      <c r="K164" s="53" t="s">
        <v>31</v>
      </c>
      <c r="L164" s="53">
        <v>1</v>
      </c>
      <c r="M164" s="53"/>
      <c r="N164" s="53"/>
      <c r="O164" s="55">
        <v>8.58</v>
      </c>
      <c r="P164" s="55">
        <v>8.5399999999999991</v>
      </c>
      <c r="Q164" s="55">
        <f t="shared" si="6"/>
        <v>-4.0000000000000924E-2</v>
      </c>
      <c r="R164" s="55"/>
      <c r="S164" s="55" t="str">
        <f t="shared" si="7"/>
        <v/>
      </c>
      <c r="T164" s="12"/>
      <c r="U164" s="12"/>
      <c r="V164" s="12"/>
      <c r="W164" s="12"/>
      <c r="X164" s="53"/>
      <c r="Y164" s="53"/>
      <c r="Z164" s="54">
        <v>1</v>
      </c>
      <c r="AA164" s="54"/>
      <c r="AB164" s="56"/>
      <c r="AC164" s="53"/>
      <c r="AD164" s="59"/>
    </row>
    <row r="165" spans="1:30" s="57" customFormat="1" ht="20.25" customHeight="1">
      <c r="A165" s="53">
        <v>147</v>
      </c>
      <c r="B165" s="53">
        <v>3</v>
      </c>
      <c r="C165" s="53">
        <v>9</v>
      </c>
      <c r="D165" s="53">
        <v>6</v>
      </c>
      <c r="E165" s="58"/>
      <c r="F165" s="58"/>
      <c r="G165" s="53" t="s">
        <v>39</v>
      </c>
      <c r="H165" s="53">
        <v>1</v>
      </c>
      <c r="I165" s="53">
        <v>9019</v>
      </c>
      <c r="J165" s="53">
        <v>6</v>
      </c>
      <c r="K165" s="53" t="s">
        <v>31</v>
      </c>
      <c r="L165" s="53">
        <v>1</v>
      </c>
      <c r="M165" s="53"/>
      <c r="N165" s="53"/>
      <c r="O165" s="55">
        <v>8.0500000000000007</v>
      </c>
      <c r="P165" s="55">
        <v>8</v>
      </c>
      <c r="Q165" s="55">
        <f t="shared" si="6"/>
        <v>-5.0000000000000711E-2</v>
      </c>
      <c r="R165" s="55"/>
      <c r="S165" s="55" t="str">
        <f t="shared" si="7"/>
        <v/>
      </c>
      <c r="T165" s="12"/>
      <c r="U165" s="12"/>
      <c r="V165" s="12"/>
      <c r="W165" s="12"/>
      <c r="X165" s="53"/>
      <c r="Y165" s="53"/>
      <c r="Z165" s="54">
        <v>1</v>
      </c>
      <c r="AA165" s="60"/>
      <c r="AB165" s="56"/>
      <c r="AC165" s="53"/>
      <c r="AD165" s="59"/>
    </row>
    <row r="166" spans="1:30" s="57" customFormat="1" ht="20.25" customHeight="1">
      <c r="A166" s="53">
        <v>148</v>
      </c>
      <c r="B166" s="53">
        <v>3</v>
      </c>
      <c r="C166" s="53">
        <v>9</v>
      </c>
      <c r="D166" s="53">
        <v>6</v>
      </c>
      <c r="E166" s="58"/>
      <c r="F166" s="58"/>
      <c r="G166" s="53" t="s">
        <v>39</v>
      </c>
      <c r="H166" s="53">
        <v>2</v>
      </c>
      <c r="I166" s="53">
        <v>9019</v>
      </c>
      <c r="J166" s="53">
        <v>8</v>
      </c>
      <c r="K166" s="53" t="s">
        <v>29</v>
      </c>
      <c r="L166" s="53">
        <v>1</v>
      </c>
      <c r="M166" s="53"/>
      <c r="N166" s="53"/>
      <c r="O166" s="55">
        <v>8.31</v>
      </c>
      <c r="P166" s="55">
        <v>8.2799999999999994</v>
      </c>
      <c r="Q166" s="55">
        <f t="shared" si="6"/>
        <v>-3.0000000000001137E-2</v>
      </c>
      <c r="R166" s="55"/>
      <c r="S166" s="55" t="str">
        <f t="shared" si="7"/>
        <v/>
      </c>
      <c r="T166" s="12"/>
      <c r="U166" s="12"/>
      <c r="V166" s="12"/>
      <c r="W166" s="12"/>
      <c r="X166" s="53"/>
      <c r="Y166" s="53"/>
      <c r="Z166" s="54">
        <v>1</v>
      </c>
      <c r="AA166" s="60"/>
      <c r="AB166" s="56"/>
      <c r="AC166" s="53"/>
      <c r="AD166" s="59"/>
    </row>
    <row r="167" spans="1:30" s="57" customFormat="1" ht="20.25" customHeight="1">
      <c r="A167" s="53">
        <v>149</v>
      </c>
      <c r="B167" s="53">
        <v>3</v>
      </c>
      <c r="C167" s="53">
        <v>9</v>
      </c>
      <c r="D167" s="53">
        <v>6</v>
      </c>
      <c r="E167" s="58"/>
      <c r="F167" s="58"/>
      <c r="G167" s="53" t="s">
        <v>39</v>
      </c>
      <c r="H167" s="53">
        <v>2</v>
      </c>
      <c r="I167" s="53">
        <v>9019</v>
      </c>
      <c r="J167" s="53">
        <v>8</v>
      </c>
      <c r="K167" s="53" t="s">
        <v>31</v>
      </c>
      <c r="L167" s="53">
        <v>1</v>
      </c>
      <c r="M167" s="53"/>
      <c r="N167" s="53"/>
      <c r="O167" s="55">
        <v>9.0500000000000007</v>
      </c>
      <c r="P167" s="55">
        <v>9</v>
      </c>
      <c r="Q167" s="55">
        <f t="shared" si="6"/>
        <v>-5.0000000000000711E-2</v>
      </c>
      <c r="R167" s="55"/>
      <c r="S167" s="55" t="str">
        <f t="shared" si="7"/>
        <v/>
      </c>
      <c r="T167" s="12"/>
      <c r="U167" s="12"/>
      <c r="V167" s="12"/>
      <c r="W167" s="12"/>
      <c r="X167" s="53"/>
      <c r="Y167" s="53"/>
      <c r="Z167" s="54">
        <v>1</v>
      </c>
      <c r="AA167" s="54"/>
      <c r="AB167" s="56"/>
      <c r="AC167" s="53"/>
      <c r="AD167" s="59"/>
    </row>
    <row r="168" spans="1:30" s="57" customFormat="1" ht="24" customHeight="1">
      <c r="A168" s="53">
        <v>150</v>
      </c>
      <c r="B168" s="53">
        <v>3</v>
      </c>
      <c r="C168" s="53">
        <v>9</v>
      </c>
      <c r="D168" s="53">
        <v>6</v>
      </c>
      <c r="E168" s="58"/>
      <c r="F168" s="58"/>
      <c r="G168" s="53" t="s">
        <v>39</v>
      </c>
      <c r="H168" s="53">
        <v>1</v>
      </c>
      <c r="I168" s="53">
        <v>9019</v>
      </c>
      <c r="J168" s="53">
        <v>8</v>
      </c>
      <c r="K168" s="53" t="s">
        <v>29</v>
      </c>
      <c r="L168" s="53">
        <v>1</v>
      </c>
      <c r="M168" s="53">
        <v>1</v>
      </c>
      <c r="N168" s="53"/>
      <c r="O168" s="55">
        <v>9.01</v>
      </c>
      <c r="P168" s="55">
        <v>8.99</v>
      </c>
      <c r="Q168" s="55">
        <f t="shared" si="6"/>
        <v>-1.9999999999999574E-2</v>
      </c>
      <c r="R168" s="55"/>
      <c r="S168" s="55" t="str">
        <f t="shared" si="7"/>
        <v/>
      </c>
      <c r="T168" s="12"/>
      <c r="U168" s="12"/>
      <c r="V168" s="12"/>
      <c r="W168" s="12"/>
      <c r="X168" s="53"/>
      <c r="Y168" s="53"/>
      <c r="Z168" s="54">
        <v>1</v>
      </c>
      <c r="AA168" s="54" t="s">
        <v>30</v>
      </c>
      <c r="AB168" s="56"/>
      <c r="AC168" s="53"/>
      <c r="AD168" s="59"/>
    </row>
    <row r="169" spans="1:30" s="57" customFormat="1" ht="20.25" customHeight="1">
      <c r="A169" s="53">
        <v>151</v>
      </c>
      <c r="B169" s="53">
        <v>3</v>
      </c>
      <c r="C169" s="53">
        <v>9</v>
      </c>
      <c r="D169" s="53">
        <v>6</v>
      </c>
      <c r="E169" s="58"/>
      <c r="F169" s="58"/>
      <c r="G169" s="53" t="s">
        <v>39</v>
      </c>
      <c r="H169" s="53">
        <v>1</v>
      </c>
      <c r="I169" s="53">
        <v>9019</v>
      </c>
      <c r="J169" s="53">
        <v>10</v>
      </c>
      <c r="K169" s="53" t="s">
        <v>29</v>
      </c>
      <c r="L169" s="53">
        <v>1</v>
      </c>
      <c r="M169" s="53"/>
      <c r="N169" s="53"/>
      <c r="O169" s="55">
        <v>8.0399999999999991</v>
      </c>
      <c r="P169" s="55">
        <v>8</v>
      </c>
      <c r="Q169" s="55">
        <f t="shared" si="6"/>
        <v>-3.9999999999999147E-2</v>
      </c>
      <c r="R169" s="55"/>
      <c r="S169" s="55" t="str">
        <f t="shared" si="7"/>
        <v/>
      </c>
      <c r="T169" s="12"/>
      <c r="U169" s="12"/>
      <c r="V169" s="12"/>
      <c r="W169" s="12"/>
      <c r="X169" s="53"/>
      <c r="Y169" s="53"/>
      <c r="Z169" s="54">
        <v>1</v>
      </c>
      <c r="AA169" s="54" t="s">
        <v>30</v>
      </c>
      <c r="AB169" s="56"/>
      <c r="AC169" s="53"/>
      <c r="AD169" s="59"/>
    </row>
    <row r="170" spans="1:30" s="57" customFormat="1" ht="20.25" customHeight="1">
      <c r="A170" s="53">
        <v>152</v>
      </c>
      <c r="B170" s="53">
        <v>3</v>
      </c>
      <c r="C170" s="53">
        <v>9</v>
      </c>
      <c r="D170" s="53">
        <v>6</v>
      </c>
      <c r="E170" s="58"/>
      <c r="F170" s="58"/>
      <c r="G170" s="53" t="s">
        <v>39</v>
      </c>
      <c r="H170" s="53">
        <v>2</v>
      </c>
      <c r="I170" s="53">
        <v>9020</v>
      </c>
      <c r="J170" s="53">
        <v>4</v>
      </c>
      <c r="K170" s="53" t="s">
        <v>29</v>
      </c>
      <c r="L170" s="53">
        <v>1</v>
      </c>
      <c r="M170" s="53"/>
      <c r="N170" s="53"/>
      <c r="O170" s="55">
        <v>9.06</v>
      </c>
      <c r="P170" s="55">
        <v>9.0299999999999994</v>
      </c>
      <c r="Q170" s="55">
        <f t="shared" si="6"/>
        <v>-3.0000000000001137E-2</v>
      </c>
      <c r="R170" s="55"/>
      <c r="S170" s="55" t="str">
        <f t="shared" si="7"/>
        <v/>
      </c>
      <c r="T170" s="12"/>
      <c r="U170" s="12"/>
      <c r="V170" s="12"/>
      <c r="W170" s="12"/>
      <c r="X170" s="53"/>
      <c r="Y170" s="53"/>
      <c r="Z170" s="54">
        <v>1</v>
      </c>
      <c r="AA170" s="54"/>
      <c r="AB170" s="56"/>
      <c r="AC170" s="53"/>
      <c r="AD170" s="59"/>
    </row>
    <row r="171" spans="1:30" s="57" customFormat="1" ht="20.25" customHeight="1">
      <c r="A171" s="53">
        <v>153</v>
      </c>
      <c r="B171" s="53">
        <v>3</v>
      </c>
      <c r="C171" s="53">
        <v>9</v>
      </c>
      <c r="D171" s="53">
        <v>6</v>
      </c>
      <c r="E171" s="58"/>
      <c r="F171" s="58"/>
      <c r="G171" s="53" t="s">
        <v>39</v>
      </c>
      <c r="H171" s="53">
        <v>2</v>
      </c>
      <c r="I171" s="53">
        <v>9020</v>
      </c>
      <c r="J171" s="53">
        <v>4</v>
      </c>
      <c r="K171" s="53" t="s">
        <v>31</v>
      </c>
      <c r="L171" s="53">
        <v>1</v>
      </c>
      <c r="M171" s="53"/>
      <c r="N171" s="53"/>
      <c r="O171" s="55">
        <v>8.0399999999999991</v>
      </c>
      <c r="P171" s="55">
        <v>8</v>
      </c>
      <c r="Q171" s="55">
        <f t="shared" si="6"/>
        <v>-3.9999999999999147E-2</v>
      </c>
      <c r="R171" s="55"/>
      <c r="S171" s="55" t="str">
        <f t="shared" si="7"/>
        <v/>
      </c>
      <c r="T171" s="12"/>
      <c r="U171" s="12"/>
      <c r="V171" s="12"/>
      <c r="W171" s="12"/>
      <c r="X171" s="53"/>
      <c r="Y171" s="53"/>
      <c r="Z171" s="54">
        <v>1</v>
      </c>
      <c r="AA171" s="54"/>
      <c r="AB171" s="56"/>
      <c r="AC171" s="53"/>
      <c r="AD171" s="59"/>
    </row>
    <row r="172" spans="1:30" s="57" customFormat="1" ht="20.25" customHeight="1">
      <c r="A172" s="53">
        <v>154</v>
      </c>
      <c r="B172" s="53">
        <v>3</v>
      </c>
      <c r="C172" s="53">
        <v>9</v>
      </c>
      <c r="D172" s="53">
        <v>6</v>
      </c>
      <c r="E172" s="58"/>
      <c r="F172" s="58"/>
      <c r="G172" s="53" t="s">
        <v>39</v>
      </c>
      <c r="H172" s="53">
        <v>2</v>
      </c>
      <c r="I172" s="53">
        <v>9020</v>
      </c>
      <c r="J172" s="53">
        <v>6</v>
      </c>
      <c r="K172" s="53" t="s">
        <v>31</v>
      </c>
      <c r="L172" s="53">
        <v>1</v>
      </c>
      <c r="M172" s="53"/>
      <c r="N172" s="53"/>
      <c r="O172" s="55">
        <v>8.06</v>
      </c>
      <c r="P172" s="55">
        <v>8.0399999999999991</v>
      </c>
      <c r="Q172" s="55">
        <f t="shared" si="6"/>
        <v>-2.000000000000135E-2</v>
      </c>
      <c r="R172" s="55"/>
      <c r="S172" s="55" t="str">
        <f t="shared" si="7"/>
        <v/>
      </c>
      <c r="T172" s="12"/>
      <c r="U172" s="12"/>
      <c r="V172" s="12"/>
      <c r="W172" s="12"/>
      <c r="X172" s="53"/>
      <c r="Y172" s="53"/>
      <c r="Z172" s="54">
        <v>1</v>
      </c>
      <c r="AA172" s="54"/>
      <c r="AB172" s="56"/>
      <c r="AC172" s="53"/>
      <c r="AD172" s="59"/>
    </row>
    <row r="173" spans="1:30" s="57" customFormat="1" ht="20.25" customHeight="1">
      <c r="A173" s="53">
        <v>155</v>
      </c>
      <c r="B173" s="53">
        <v>3</v>
      </c>
      <c r="C173" s="53">
        <v>9</v>
      </c>
      <c r="D173" s="53">
        <v>6</v>
      </c>
      <c r="E173" s="58"/>
      <c r="F173" s="58"/>
      <c r="G173" s="53" t="s">
        <v>39</v>
      </c>
      <c r="H173" s="53">
        <v>1</v>
      </c>
      <c r="I173" s="53">
        <v>9020</v>
      </c>
      <c r="J173" s="53">
        <v>7</v>
      </c>
      <c r="K173" s="53" t="s">
        <v>31</v>
      </c>
      <c r="L173" s="53">
        <v>1</v>
      </c>
      <c r="M173" s="53"/>
      <c r="N173" s="53"/>
      <c r="O173" s="55">
        <v>8.02</v>
      </c>
      <c r="P173" s="55">
        <v>8</v>
      </c>
      <c r="Q173" s="55">
        <f t="shared" si="6"/>
        <v>-1.9999999999999574E-2</v>
      </c>
      <c r="R173" s="55"/>
      <c r="S173" s="55" t="str">
        <f t="shared" si="7"/>
        <v/>
      </c>
      <c r="T173" s="12"/>
      <c r="U173" s="12"/>
      <c r="V173" s="12"/>
      <c r="W173" s="12"/>
      <c r="X173" s="53"/>
      <c r="Y173" s="53"/>
      <c r="Z173" s="54">
        <v>1</v>
      </c>
      <c r="AA173" s="54"/>
      <c r="AB173" s="56"/>
      <c r="AC173" s="53"/>
      <c r="AD173" s="59"/>
    </row>
    <row r="174" spans="1:30" s="57" customFormat="1" ht="20.25" customHeight="1">
      <c r="A174" s="53">
        <v>156</v>
      </c>
      <c r="B174" s="53">
        <v>3</v>
      </c>
      <c r="C174" s="53">
        <v>9</v>
      </c>
      <c r="D174" s="53">
        <v>6</v>
      </c>
      <c r="E174" s="58"/>
      <c r="F174" s="58"/>
      <c r="G174" s="53" t="s">
        <v>39</v>
      </c>
      <c r="H174" s="53">
        <v>1</v>
      </c>
      <c r="I174" s="53">
        <v>9020</v>
      </c>
      <c r="J174" s="53">
        <v>10</v>
      </c>
      <c r="K174" s="53" t="s">
        <v>29</v>
      </c>
      <c r="L174" s="53">
        <v>1</v>
      </c>
      <c r="M174" s="53"/>
      <c r="N174" s="53"/>
      <c r="O174" s="55">
        <v>9.82</v>
      </c>
      <c r="P174" s="55">
        <v>9.7799999999999994</v>
      </c>
      <c r="Q174" s="55">
        <f t="shared" si="6"/>
        <v>-4.0000000000000924E-2</v>
      </c>
      <c r="R174" s="55"/>
      <c r="S174" s="55" t="str">
        <f t="shared" si="7"/>
        <v/>
      </c>
      <c r="T174" s="12"/>
      <c r="U174" s="12"/>
      <c r="V174" s="12"/>
      <c r="W174" s="12"/>
      <c r="X174" s="53"/>
      <c r="Y174" s="53"/>
      <c r="Z174" s="54">
        <v>1</v>
      </c>
      <c r="AA174" s="54" t="s">
        <v>30</v>
      </c>
      <c r="AB174" s="56"/>
      <c r="AC174" s="53"/>
      <c r="AD174" s="59"/>
    </row>
    <row r="175" spans="1:30" s="57" customFormat="1" ht="20.25" customHeight="1">
      <c r="A175" s="53">
        <v>157</v>
      </c>
      <c r="B175" s="53">
        <v>3</v>
      </c>
      <c r="C175" s="53">
        <v>9</v>
      </c>
      <c r="D175" s="53">
        <v>6</v>
      </c>
      <c r="E175" s="58"/>
      <c r="F175" s="58"/>
      <c r="G175" s="53" t="s">
        <v>39</v>
      </c>
      <c r="H175" s="53">
        <v>2</v>
      </c>
      <c r="I175" s="53">
        <v>9020</v>
      </c>
      <c r="J175" s="53">
        <v>9</v>
      </c>
      <c r="K175" s="53" t="s">
        <v>31</v>
      </c>
      <c r="L175" s="53">
        <v>1</v>
      </c>
      <c r="M175" s="53"/>
      <c r="N175" s="53"/>
      <c r="O175" s="55">
        <v>8.0399999999999991</v>
      </c>
      <c r="P175" s="55">
        <v>8</v>
      </c>
      <c r="Q175" s="55">
        <f t="shared" si="6"/>
        <v>-3.9999999999999147E-2</v>
      </c>
      <c r="R175" s="55"/>
      <c r="S175" s="55" t="str">
        <f t="shared" si="7"/>
        <v/>
      </c>
      <c r="T175" s="12"/>
      <c r="U175" s="12"/>
      <c r="V175" s="12"/>
      <c r="W175" s="12"/>
      <c r="X175" s="53"/>
      <c r="Y175" s="53"/>
      <c r="Z175" s="54">
        <v>1</v>
      </c>
      <c r="AA175" s="54"/>
      <c r="AB175" s="56"/>
      <c r="AC175" s="53"/>
      <c r="AD175" s="59"/>
    </row>
    <row r="176" spans="1:30" s="57" customFormat="1" ht="20.25" customHeight="1">
      <c r="A176" s="53">
        <v>158</v>
      </c>
      <c r="B176" s="53">
        <v>3</v>
      </c>
      <c r="C176" s="53">
        <v>9</v>
      </c>
      <c r="D176" s="53">
        <v>6</v>
      </c>
      <c r="E176" s="58"/>
      <c r="F176" s="58"/>
      <c r="G176" s="53" t="s">
        <v>39</v>
      </c>
      <c r="H176" s="53">
        <v>1</v>
      </c>
      <c r="I176" s="53">
        <v>9021</v>
      </c>
      <c r="J176" s="53">
        <v>3</v>
      </c>
      <c r="K176" s="53" t="s">
        <v>31</v>
      </c>
      <c r="L176" s="53">
        <v>1</v>
      </c>
      <c r="M176" s="53"/>
      <c r="N176" s="53"/>
      <c r="O176" s="55">
        <v>8.1300000000000008</v>
      </c>
      <c r="P176" s="55">
        <v>8.1</v>
      </c>
      <c r="Q176" s="55">
        <f t="shared" si="6"/>
        <v>-3.0000000000001137E-2</v>
      </c>
      <c r="R176" s="55"/>
      <c r="S176" s="55" t="str">
        <f t="shared" si="7"/>
        <v/>
      </c>
      <c r="T176" s="12"/>
      <c r="U176" s="12"/>
      <c r="V176" s="12"/>
      <c r="W176" s="12"/>
      <c r="X176" s="53"/>
      <c r="Y176" s="53"/>
      <c r="Z176" s="54">
        <v>1</v>
      </c>
      <c r="AA176" s="54" t="s">
        <v>30</v>
      </c>
      <c r="AB176" s="56"/>
      <c r="AC176" s="53"/>
      <c r="AD176" s="59"/>
    </row>
    <row r="177" spans="1:30" s="57" customFormat="1" ht="20.25" customHeight="1">
      <c r="A177" s="53">
        <v>159</v>
      </c>
      <c r="B177" s="53">
        <v>3</v>
      </c>
      <c r="C177" s="53">
        <v>9</v>
      </c>
      <c r="D177" s="53">
        <v>6</v>
      </c>
      <c r="E177" s="58"/>
      <c r="F177" s="58"/>
      <c r="G177" s="53" t="s">
        <v>39</v>
      </c>
      <c r="H177" s="53">
        <v>1</v>
      </c>
      <c r="I177" s="53">
        <v>9021</v>
      </c>
      <c r="J177" s="53">
        <v>5</v>
      </c>
      <c r="K177" s="53" t="s">
        <v>31</v>
      </c>
      <c r="L177" s="53">
        <v>1</v>
      </c>
      <c r="M177" s="53"/>
      <c r="N177" s="53"/>
      <c r="O177" s="55">
        <v>8.08</v>
      </c>
      <c r="P177" s="55">
        <v>8.06</v>
      </c>
      <c r="Q177" s="55">
        <f t="shared" si="6"/>
        <v>-1.9999999999999574E-2</v>
      </c>
      <c r="R177" s="55"/>
      <c r="S177" s="55" t="str">
        <f t="shared" si="7"/>
        <v/>
      </c>
      <c r="T177" s="12"/>
      <c r="U177" s="12"/>
      <c r="V177" s="12"/>
      <c r="W177" s="12"/>
      <c r="X177" s="53"/>
      <c r="Y177" s="53"/>
      <c r="Z177" s="54">
        <v>1</v>
      </c>
      <c r="AA177" s="54" t="s">
        <v>30</v>
      </c>
      <c r="AB177" s="56"/>
      <c r="AC177" s="53"/>
      <c r="AD177" s="59"/>
    </row>
    <row r="178" spans="1:30" s="57" customFormat="1" ht="20.25" customHeight="1">
      <c r="A178" s="53">
        <v>160</v>
      </c>
      <c r="B178" s="53">
        <v>3</v>
      </c>
      <c r="C178" s="53">
        <v>9</v>
      </c>
      <c r="D178" s="53">
        <v>6</v>
      </c>
      <c r="E178" s="58"/>
      <c r="F178" s="58"/>
      <c r="G178" s="53" t="s">
        <v>39</v>
      </c>
      <c r="H178" s="53">
        <v>1</v>
      </c>
      <c r="I178" s="53">
        <v>9021</v>
      </c>
      <c r="J178" s="53">
        <v>2</v>
      </c>
      <c r="K178" s="53" t="s">
        <v>29</v>
      </c>
      <c r="L178" s="53">
        <v>1</v>
      </c>
      <c r="M178" s="53"/>
      <c r="N178" s="53"/>
      <c r="O178" s="55">
        <v>8.1</v>
      </c>
      <c r="P178" s="55">
        <v>8.08</v>
      </c>
      <c r="Q178" s="55">
        <f t="shared" si="6"/>
        <v>-1.9999999999999574E-2</v>
      </c>
      <c r="R178" s="55"/>
      <c r="S178" s="55" t="str">
        <f t="shared" si="7"/>
        <v/>
      </c>
      <c r="T178" s="12"/>
      <c r="U178" s="12"/>
      <c r="V178" s="12"/>
      <c r="W178" s="12"/>
      <c r="X178" s="53"/>
      <c r="Y178" s="53"/>
      <c r="Z178" s="54">
        <v>1</v>
      </c>
      <c r="AA178" s="54"/>
      <c r="AB178" s="56"/>
      <c r="AC178" s="53"/>
      <c r="AD178" s="59"/>
    </row>
    <row r="179" spans="1:30" s="57" customFormat="1" ht="20.25" customHeight="1">
      <c r="A179" s="53">
        <v>161</v>
      </c>
      <c r="B179" s="53">
        <v>3</v>
      </c>
      <c r="C179" s="53">
        <v>9</v>
      </c>
      <c r="D179" s="53">
        <v>6</v>
      </c>
      <c r="E179" s="58"/>
      <c r="F179" s="58"/>
      <c r="G179" s="53" t="s">
        <v>39</v>
      </c>
      <c r="H179" s="53">
        <v>1</v>
      </c>
      <c r="I179" s="53">
        <v>9021</v>
      </c>
      <c r="J179" s="53">
        <v>8</v>
      </c>
      <c r="K179" s="53" t="s">
        <v>29</v>
      </c>
      <c r="L179" s="53">
        <v>1</v>
      </c>
      <c r="M179" s="53"/>
      <c r="N179" s="53"/>
      <c r="O179" s="55">
        <v>8.2200000000000006</v>
      </c>
      <c r="P179" s="55">
        <v>8.18</v>
      </c>
      <c r="Q179" s="55">
        <f t="shared" si="6"/>
        <v>-4.0000000000000924E-2</v>
      </c>
      <c r="R179" s="55"/>
      <c r="S179" s="55" t="str">
        <f t="shared" si="7"/>
        <v/>
      </c>
      <c r="T179" s="12"/>
      <c r="U179" s="12"/>
      <c r="V179" s="12"/>
      <c r="W179" s="12"/>
      <c r="X179" s="53"/>
      <c r="Y179" s="53"/>
      <c r="Z179" s="54">
        <v>1</v>
      </c>
      <c r="AA179" s="54" t="s">
        <v>30</v>
      </c>
      <c r="AB179" s="56"/>
      <c r="AC179" s="53"/>
      <c r="AD179" s="59"/>
    </row>
    <row r="180" spans="1:30" s="57" customFormat="1" ht="20.25" customHeight="1">
      <c r="A180" s="53">
        <v>162</v>
      </c>
      <c r="B180" s="53">
        <v>3</v>
      </c>
      <c r="C180" s="53">
        <v>9</v>
      </c>
      <c r="D180" s="53">
        <v>6</v>
      </c>
      <c r="E180" s="58"/>
      <c r="F180" s="58"/>
      <c r="G180" s="53" t="s">
        <v>39</v>
      </c>
      <c r="H180" s="53">
        <v>2</v>
      </c>
      <c r="I180" s="53">
        <v>9021</v>
      </c>
      <c r="J180" s="53">
        <v>9</v>
      </c>
      <c r="K180" s="53" t="s">
        <v>29</v>
      </c>
      <c r="L180" s="53">
        <v>1</v>
      </c>
      <c r="M180" s="53"/>
      <c r="N180" s="53"/>
      <c r="O180" s="55">
        <v>8.4700000000000006</v>
      </c>
      <c r="P180" s="55">
        <v>8.43</v>
      </c>
      <c r="Q180" s="55">
        <f t="shared" si="6"/>
        <v>-4.0000000000000924E-2</v>
      </c>
      <c r="R180" s="55"/>
      <c r="S180" s="55" t="str">
        <f t="shared" si="7"/>
        <v/>
      </c>
      <c r="T180" s="12"/>
      <c r="U180" s="12"/>
      <c r="V180" s="12"/>
      <c r="W180" s="12"/>
      <c r="X180" s="53"/>
      <c r="Y180" s="53"/>
      <c r="Z180" s="54">
        <v>1</v>
      </c>
      <c r="AA180" s="54" t="s">
        <v>30</v>
      </c>
      <c r="AB180" s="56"/>
      <c r="AC180" s="53"/>
      <c r="AD180" s="59"/>
    </row>
    <row r="181" spans="1:30" s="57" customFormat="1" ht="37.5">
      <c r="A181" s="53">
        <v>163</v>
      </c>
      <c r="B181" s="53">
        <v>3</v>
      </c>
      <c r="C181" s="53">
        <v>9</v>
      </c>
      <c r="D181" s="53">
        <v>7</v>
      </c>
      <c r="E181" s="58"/>
      <c r="F181" s="58"/>
      <c r="G181" s="53" t="s">
        <v>39</v>
      </c>
      <c r="H181" s="53">
        <v>1</v>
      </c>
      <c r="I181" s="53">
        <v>9022</v>
      </c>
      <c r="J181" s="53">
        <v>1</v>
      </c>
      <c r="K181" s="53" t="s">
        <v>29</v>
      </c>
      <c r="L181" s="53">
        <v>1</v>
      </c>
      <c r="M181" s="53"/>
      <c r="N181" s="53"/>
      <c r="O181" s="55">
        <v>8.0399999999999991</v>
      </c>
      <c r="P181" s="55">
        <v>8</v>
      </c>
      <c r="Q181" s="55">
        <f t="shared" ref="Q181:Q218" si="8">P181-O181</f>
        <v>-3.9999999999999147E-2</v>
      </c>
      <c r="R181" s="55"/>
      <c r="S181" s="55" t="str">
        <f t="shared" si="7"/>
        <v/>
      </c>
      <c r="T181" s="12"/>
      <c r="U181" s="12"/>
      <c r="V181" s="12"/>
      <c r="W181" s="12"/>
      <c r="X181" s="53"/>
      <c r="Y181" s="53"/>
      <c r="Z181" s="54">
        <v>1</v>
      </c>
      <c r="AA181" s="54"/>
      <c r="AB181" s="56"/>
      <c r="AC181" s="53"/>
      <c r="AD181" s="59"/>
    </row>
    <row r="182" spans="1:30" s="57" customFormat="1" ht="37.5">
      <c r="A182" s="53">
        <v>164</v>
      </c>
      <c r="B182" s="53">
        <v>3</v>
      </c>
      <c r="C182" s="53">
        <v>9</v>
      </c>
      <c r="D182" s="53">
        <v>7</v>
      </c>
      <c r="E182" s="58"/>
      <c r="F182" s="58"/>
      <c r="G182" s="53" t="s">
        <v>39</v>
      </c>
      <c r="H182" s="53">
        <v>2</v>
      </c>
      <c r="I182" s="53">
        <v>9022</v>
      </c>
      <c r="J182" s="53">
        <v>6</v>
      </c>
      <c r="K182" s="53" t="s">
        <v>29</v>
      </c>
      <c r="L182" s="53">
        <v>1</v>
      </c>
      <c r="M182" s="53"/>
      <c r="N182" s="53"/>
      <c r="O182" s="55">
        <v>9</v>
      </c>
      <c r="P182" s="55">
        <v>8.9600000000000009</v>
      </c>
      <c r="Q182" s="55">
        <f t="shared" si="8"/>
        <v>-3.9999999999999147E-2</v>
      </c>
      <c r="R182" s="55"/>
      <c r="S182" s="55" t="str">
        <f t="shared" si="7"/>
        <v/>
      </c>
      <c r="T182" s="12"/>
      <c r="U182" s="12"/>
      <c r="V182" s="12"/>
      <c r="W182" s="12"/>
      <c r="X182" s="53"/>
      <c r="Y182" s="53"/>
      <c r="Z182" s="54">
        <v>1</v>
      </c>
      <c r="AA182" s="54"/>
      <c r="AB182" s="56"/>
      <c r="AC182" s="53"/>
      <c r="AD182" s="59"/>
    </row>
    <row r="183" spans="1:30" s="57" customFormat="1" ht="27.75" customHeight="1">
      <c r="A183" s="53">
        <v>165</v>
      </c>
      <c r="B183" s="53">
        <v>3</v>
      </c>
      <c r="C183" s="53">
        <v>9</v>
      </c>
      <c r="D183" s="53">
        <v>7</v>
      </c>
      <c r="E183" s="58"/>
      <c r="F183" s="58"/>
      <c r="G183" s="53" t="s">
        <v>39</v>
      </c>
      <c r="H183" s="53">
        <v>2</v>
      </c>
      <c r="I183" s="53">
        <v>9022</v>
      </c>
      <c r="J183" s="53">
        <v>7</v>
      </c>
      <c r="K183" s="53" t="s">
        <v>31</v>
      </c>
      <c r="L183" s="53">
        <v>1</v>
      </c>
      <c r="M183" s="53"/>
      <c r="N183" s="53"/>
      <c r="O183" s="55">
        <v>8.06</v>
      </c>
      <c r="P183" s="55">
        <v>8.0299999999999994</v>
      </c>
      <c r="Q183" s="55">
        <f t="shared" si="8"/>
        <v>-3.0000000000001137E-2</v>
      </c>
      <c r="R183" s="55"/>
      <c r="S183" s="55" t="str">
        <f t="shared" si="7"/>
        <v/>
      </c>
      <c r="T183" s="12"/>
      <c r="U183" s="12"/>
      <c r="V183" s="12"/>
      <c r="W183" s="12"/>
      <c r="X183" s="53"/>
      <c r="Y183" s="53"/>
      <c r="Z183" s="54">
        <v>1</v>
      </c>
      <c r="AA183" s="54"/>
      <c r="AB183" s="56"/>
      <c r="AC183" s="53"/>
      <c r="AD183" s="59"/>
    </row>
    <row r="184" spans="1:30" s="57" customFormat="1" ht="37.5">
      <c r="A184" s="53">
        <v>166</v>
      </c>
      <c r="B184" s="53">
        <v>3</v>
      </c>
      <c r="C184" s="53">
        <v>9</v>
      </c>
      <c r="D184" s="53">
        <v>7</v>
      </c>
      <c r="E184" s="58"/>
      <c r="F184" s="58"/>
      <c r="G184" s="53" t="s">
        <v>39</v>
      </c>
      <c r="H184" s="53">
        <v>2</v>
      </c>
      <c r="I184" s="53">
        <v>9022</v>
      </c>
      <c r="J184" s="53">
        <v>10</v>
      </c>
      <c r="K184" s="53" t="s">
        <v>31</v>
      </c>
      <c r="L184" s="53">
        <v>1</v>
      </c>
      <c r="M184" s="53"/>
      <c r="N184" s="53"/>
      <c r="O184" s="55">
        <v>9.0399999999999991</v>
      </c>
      <c r="P184" s="55">
        <v>9</v>
      </c>
      <c r="Q184" s="55">
        <f t="shared" si="8"/>
        <v>-3.9999999999999147E-2</v>
      </c>
      <c r="R184" s="55"/>
      <c r="S184" s="55" t="str">
        <f t="shared" si="7"/>
        <v/>
      </c>
      <c r="T184" s="12"/>
      <c r="U184" s="12"/>
      <c r="V184" s="12"/>
      <c r="W184" s="12"/>
      <c r="X184" s="53"/>
      <c r="Y184" s="53"/>
      <c r="Z184" s="54">
        <v>1</v>
      </c>
      <c r="AA184" s="54"/>
      <c r="AB184" s="56"/>
      <c r="AC184" s="53"/>
      <c r="AD184" s="59"/>
    </row>
    <row r="185" spans="1:30" s="57" customFormat="1" ht="37.5">
      <c r="A185" s="53">
        <v>167</v>
      </c>
      <c r="B185" s="53">
        <v>3</v>
      </c>
      <c r="C185" s="53">
        <v>9</v>
      </c>
      <c r="D185" s="53">
        <v>7</v>
      </c>
      <c r="E185" s="58"/>
      <c r="F185" s="58"/>
      <c r="G185" s="53" t="s">
        <v>39</v>
      </c>
      <c r="H185" s="53">
        <v>2</v>
      </c>
      <c r="I185" s="53">
        <v>9023</v>
      </c>
      <c r="J185" s="53">
        <v>6</v>
      </c>
      <c r="K185" s="53" t="s">
        <v>31</v>
      </c>
      <c r="L185" s="53">
        <v>1</v>
      </c>
      <c r="M185" s="53"/>
      <c r="N185" s="53"/>
      <c r="O185" s="55">
        <v>8.23</v>
      </c>
      <c r="P185" s="55">
        <v>8.1999999999999993</v>
      </c>
      <c r="Q185" s="55">
        <f t="shared" si="8"/>
        <v>-3.0000000000001137E-2</v>
      </c>
      <c r="R185" s="55"/>
      <c r="S185" s="55" t="str">
        <f t="shared" si="7"/>
        <v/>
      </c>
      <c r="T185" s="12"/>
      <c r="U185" s="12"/>
      <c r="V185" s="12"/>
      <c r="W185" s="12"/>
      <c r="X185" s="53"/>
      <c r="Y185" s="53"/>
      <c r="Z185" s="54">
        <v>1</v>
      </c>
      <c r="AA185" s="54"/>
      <c r="AB185" s="56"/>
      <c r="AC185" s="53"/>
      <c r="AD185" s="59"/>
    </row>
    <row r="186" spans="1:30" s="57" customFormat="1" ht="37.5">
      <c r="A186" s="53">
        <v>168</v>
      </c>
      <c r="B186" s="53">
        <v>3</v>
      </c>
      <c r="C186" s="53">
        <v>9</v>
      </c>
      <c r="D186" s="53">
        <v>7</v>
      </c>
      <c r="E186" s="58"/>
      <c r="F186" s="58"/>
      <c r="G186" s="53" t="s">
        <v>39</v>
      </c>
      <c r="H186" s="53">
        <v>2</v>
      </c>
      <c r="I186" s="53">
        <v>9024</v>
      </c>
      <c r="J186" s="53">
        <v>2</v>
      </c>
      <c r="K186" s="53" t="s">
        <v>29</v>
      </c>
      <c r="L186" s="53">
        <v>1</v>
      </c>
      <c r="M186" s="53"/>
      <c r="N186" s="53"/>
      <c r="O186" s="55">
        <v>8.44</v>
      </c>
      <c r="P186" s="55">
        <v>8.4</v>
      </c>
      <c r="Q186" s="55">
        <f t="shared" si="8"/>
        <v>-3.9999999999999147E-2</v>
      </c>
      <c r="R186" s="55"/>
      <c r="S186" s="55" t="str">
        <f t="shared" si="7"/>
        <v/>
      </c>
      <c r="T186" s="12"/>
      <c r="U186" s="12"/>
      <c r="V186" s="12"/>
      <c r="W186" s="12"/>
      <c r="X186" s="53"/>
      <c r="Y186" s="53"/>
      <c r="Z186" s="54">
        <v>1</v>
      </c>
      <c r="AA186" s="54"/>
      <c r="AB186" s="56"/>
      <c r="AC186" s="53"/>
      <c r="AD186" s="59"/>
    </row>
    <row r="187" spans="1:30" s="57" customFormat="1" ht="37.5">
      <c r="A187" s="53">
        <v>169</v>
      </c>
      <c r="B187" s="53">
        <v>3</v>
      </c>
      <c r="C187" s="53">
        <v>9</v>
      </c>
      <c r="D187" s="53">
        <v>7</v>
      </c>
      <c r="E187" s="58"/>
      <c r="F187" s="58"/>
      <c r="G187" s="53" t="s">
        <v>39</v>
      </c>
      <c r="H187" s="53">
        <v>2</v>
      </c>
      <c r="I187" s="53">
        <v>9024</v>
      </c>
      <c r="J187" s="53">
        <v>5</v>
      </c>
      <c r="K187" s="53" t="s">
        <v>29</v>
      </c>
      <c r="L187" s="53">
        <v>1</v>
      </c>
      <c r="M187" s="53"/>
      <c r="N187" s="53"/>
      <c r="O187" s="55">
        <v>8.4</v>
      </c>
      <c r="P187" s="55">
        <v>8.36</v>
      </c>
      <c r="Q187" s="55">
        <f t="shared" si="8"/>
        <v>-4.0000000000000924E-2</v>
      </c>
      <c r="R187" s="55"/>
      <c r="S187" s="55" t="str">
        <f t="shared" si="7"/>
        <v/>
      </c>
      <c r="T187" s="12"/>
      <c r="U187" s="12"/>
      <c r="V187" s="12"/>
      <c r="W187" s="12"/>
      <c r="X187" s="53"/>
      <c r="Y187" s="53"/>
      <c r="Z187" s="54">
        <v>1</v>
      </c>
      <c r="AA187" s="54"/>
      <c r="AB187" s="56"/>
      <c r="AC187" s="53"/>
      <c r="AD187" s="59"/>
    </row>
    <row r="188" spans="1:30" s="57" customFormat="1" ht="37.5">
      <c r="A188" s="53">
        <v>170</v>
      </c>
      <c r="B188" s="53">
        <v>3</v>
      </c>
      <c r="C188" s="53">
        <v>9</v>
      </c>
      <c r="D188" s="53">
        <v>7</v>
      </c>
      <c r="E188" s="58"/>
      <c r="F188" s="58"/>
      <c r="G188" s="53" t="s">
        <v>39</v>
      </c>
      <c r="H188" s="53">
        <v>2</v>
      </c>
      <c r="I188" s="53">
        <v>9024</v>
      </c>
      <c r="J188" s="53">
        <v>6</v>
      </c>
      <c r="K188" s="53" t="s">
        <v>31</v>
      </c>
      <c r="L188" s="53">
        <v>1</v>
      </c>
      <c r="M188" s="53"/>
      <c r="N188" s="53"/>
      <c r="O188" s="55">
        <v>8.75</v>
      </c>
      <c r="P188" s="55">
        <v>8.7100000000000009</v>
      </c>
      <c r="Q188" s="55">
        <f t="shared" si="8"/>
        <v>-3.9999999999999147E-2</v>
      </c>
      <c r="R188" s="55"/>
      <c r="S188" s="55" t="str">
        <f t="shared" si="7"/>
        <v/>
      </c>
      <c r="T188" s="12"/>
      <c r="U188" s="12"/>
      <c r="V188" s="12"/>
      <c r="W188" s="12"/>
      <c r="X188" s="53"/>
      <c r="Y188" s="53"/>
      <c r="Z188" s="54">
        <v>1</v>
      </c>
      <c r="AA188" s="54"/>
      <c r="AB188" s="56"/>
      <c r="AC188" s="53"/>
      <c r="AD188" s="59"/>
    </row>
    <row r="189" spans="1:30" s="57" customFormat="1" ht="37.5">
      <c r="A189" s="53">
        <v>171</v>
      </c>
      <c r="B189" s="53">
        <v>3</v>
      </c>
      <c r="C189" s="53">
        <v>9</v>
      </c>
      <c r="D189" s="53">
        <v>7</v>
      </c>
      <c r="E189" s="58"/>
      <c r="F189" s="58"/>
      <c r="G189" s="53" t="s">
        <v>39</v>
      </c>
      <c r="H189" s="53">
        <v>1</v>
      </c>
      <c r="I189" s="53">
        <v>9024</v>
      </c>
      <c r="J189" s="53">
        <v>8</v>
      </c>
      <c r="K189" s="53" t="s">
        <v>29</v>
      </c>
      <c r="L189" s="53">
        <v>1</v>
      </c>
      <c r="M189" s="53"/>
      <c r="N189" s="53"/>
      <c r="O189" s="55">
        <v>8.34</v>
      </c>
      <c r="P189" s="55">
        <v>8.31</v>
      </c>
      <c r="Q189" s="55">
        <f t="shared" si="8"/>
        <v>-2.9999999999999361E-2</v>
      </c>
      <c r="R189" s="55"/>
      <c r="S189" s="55" t="str">
        <f t="shared" si="7"/>
        <v/>
      </c>
      <c r="T189" s="12"/>
      <c r="U189" s="12"/>
      <c r="V189" s="12"/>
      <c r="W189" s="12"/>
      <c r="X189" s="53"/>
      <c r="Y189" s="53"/>
      <c r="Z189" s="54">
        <v>1</v>
      </c>
      <c r="AA189" s="54"/>
      <c r="AB189" s="56"/>
      <c r="AC189" s="53"/>
      <c r="AD189" s="59"/>
    </row>
    <row r="190" spans="1:30" s="57" customFormat="1" ht="37.5">
      <c r="A190" s="53">
        <v>172</v>
      </c>
      <c r="B190" s="53">
        <v>3</v>
      </c>
      <c r="C190" s="53">
        <v>9</v>
      </c>
      <c r="D190" s="53">
        <v>7</v>
      </c>
      <c r="E190" s="58"/>
      <c r="F190" s="58"/>
      <c r="G190" s="53" t="s">
        <v>39</v>
      </c>
      <c r="H190" s="53">
        <v>1</v>
      </c>
      <c r="I190" s="53">
        <v>9025</v>
      </c>
      <c r="J190" s="53">
        <v>4</v>
      </c>
      <c r="K190" s="53" t="s">
        <v>31</v>
      </c>
      <c r="L190" s="53">
        <v>1</v>
      </c>
      <c r="M190" s="53"/>
      <c r="N190" s="53"/>
      <c r="O190" s="55">
        <v>8.5500000000000007</v>
      </c>
      <c r="P190" s="55">
        <v>8.52</v>
      </c>
      <c r="Q190" s="55">
        <f t="shared" si="8"/>
        <v>-3.0000000000001137E-2</v>
      </c>
      <c r="R190" s="55"/>
      <c r="S190" s="55" t="str">
        <f t="shared" si="7"/>
        <v/>
      </c>
      <c r="T190" s="12"/>
      <c r="U190" s="12"/>
      <c r="V190" s="12"/>
      <c r="W190" s="12"/>
      <c r="X190" s="53"/>
      <c r="Y190" s="53"/>
      <c r="Z190" s="54">
        <v>1</v>
      </c>
      <c r="AA190" s="54" t="s">
        <v>30</v>
      </c>
      <c r="AB190" s="56"/>
      <c r="AC190" s="53"/>
      <c r="AD190" s="59"/>
    </row>
    <row r="191" spans="1:30" s="57" customFormat="1" ht="37.5">
      <c r="A191" s="53">
        <v>173</v>
      </c>
      <c r="B191" s="53">
        <v>3</v>
      </c>
      <c r="C191" s="53">
        <v>9</v>
      </c>
      <c r="D191" s="53">
        <v>7</v>
      </c>
      <c r="E191" s="58"/>
      <c r="F191" s="58"/>
      <c r="G191" s="53" t="s">
        <v>39</v>
      </c>
      <c r="H191" s="53">
        <v>2</v>
      </c>
      <c r="I191" s="53">
        <v>9025</v>
      </c>
      <c r="J191" s="53">
        <v>5</v>
      </c>
      <c r="K191" s="53" t="s">
        <v>29</v>
      </c>
      <c r="L191" s="53">
        <v>1</v>
      </c>
      <c r="M191" s="53"/>
      <c r="N191" s="53"/>
      <c r="O191" s="55">
        <v>8.56</v>
      </c>
      <c r="P191" s="55">
        <v>8.5299999999999994</v>
      </c>
      <c r="Q191" s="55">
        <f t="shared" si="8"/>
        <v>-3.0000000000001137E-2</v>
      </c>
      <c r="R191" s="55"/>
      <c r="S191" s="55" t="str">
        <f t="shared" si="7"/>
        <v/>
      </c>
      <c r="T191" s="12"/>
      <c r="U191" s="12"/>
      <c r="V191" s="12"/>
      <c r="W191" s="12"/>
      <c r="X191" s="53"/>
      <c r="Y191" s="53"/>
      <c r="Z191" s="54">
        <v>1</v>
      </c>
      <c r="AA191" s="54"/>
      <c r="AB191" s="56"/>
      <c r="AC191" s="53"/>
      <c r="AD191" s="59"/>
    </row>
    <row r="192" spans="1:30" s="57" customFormat="1" ht="18.75" customHeight="1">
      <c r="A192" s="53">
        <v>174</v>
      </c>
      <c r="B192" s="53">
        <v>3</v>
      </c>
      <c r="C192" s="53">
        <v>9</v>
      </c>
      <c r="D192" s="53">
        <v>7</v>
      </c>
      <c r="E192" s="58"/>
      <c r="F192" s="58"/>
      <c r="G192" s="53" t="s">
        <v>39</v>
      </c>
      <c r="H192" s="53">
        <v>2</v>
      </c>
      <c r="I192" s="53">
        <v>9027</v>
      </c>
      <c r="J192" s="53">
        <v>3</v>
      </c>
      <c r="K192" s="53" t="s">
        <v>29</v>
      </c>
      <c r="L192" s="53">
        <v>1</v>
      </c>
      <c r="M192" s="53"/>
      <c r="N192" s="53"/>
      <c r="O192" s="55">
        <v>8.6300000000000008</v>
      </c>
      <c r="P192" s="55">
        <v>8.59</v>
      </c>
      <c r="Q192" s="55">
        <f t="shared" si="8"/>
        <v>-4.0000000000000924E-2</v>
      </c>
      <c r="R192" s="55"/>
      <c r="S192" s="55" t="str">
        <f t="shared" si="7"/>
        <v/>
      </c>
      <c r="T192" s="12"/>
      <c r="U192" s="12"/>
      <c r="V192" s="12"/>
      <c r="W192" s="12"/>
      <c r="X192" s="53"/>
      <c r="Y192" s="53"/>
      <c r="Z192" s="54">
        <v>1</v>
      </c>
      <c r="AA192" s="54"/>
      <c r="AB192" s="56"/>
      <c r="AC192" s="53"/>
      <c r="AD192" s="59"/>
    </row>
    <row r="193" spans="1:30" s="57" customFormat="1" ht="37.5">
      <c r="A193" s="53">
        <v>175</v>
      </c>
      <c r="B193" s="53">
        <v>3</v>
      </c>
      <c r="C193" s="53">
        <v>9</v>
      </c>
      <c r="D193" s="53">
        <v>7</v>
      </c>
      <c r="E193" s="58"/>
      <c r="F193" s="58"/>
      <c r="G193" s="53" t="s">
        <v>39</v>
      </c>
      <c r="H193" s="53">
        <v>2</v>
      </c>
      <c r="I193" s="53">
        <v>9028</v>
      </c>
      <c r="J193" s="53">
        <v>8</v>
      </c>
      <c r="K193" s="53" t="s">
        <v>31</v>
      </c>
      <c r="L193" s="53">
        <v>1</v>
      </c>
      <c r="M193" s="53"/>
      <c r="N193" s="53"/>
      <c r="O193" s="55">
        <v>8.14</v>
      </c>
      <c r="P193" s="55">
        <v>8.1</v>
      </c>
      <c r="Q193" s="55">
        <f t="shared" si="8"/>
        <v>-4.0000000000000924E-2</v>
      </c>
      <c r="R193" s="55"/>
      <c r="S193" s="55" t="str">
        <f t="shared" si="7"/>
        <v/>
      </c>
      <c r="T193" s="12"/>
      <c r="U193" s="12"/>
      <c r="V193" s="12"/>
      <c r="W193" s="12"/>
      <c r="X193" s="53"/>
      <c r="Y193" s="53"/>
      <c r="Z193" s="54">
        <v>1</v>
      </c>
      <c r="AA193" s="54"/>
      <c r="AB193" s="56"/>
      <c r="AC193" s="53"/>
      <c r="AD193" s="59"/>
    </row>
    <row r="194" spans="1:30" s="57" customFormat="1" ht="37.5">
      <c r="A194" s="53">
        <v>176</v>
      </c>
      <c r="B194" s="53">
        <v>3</v>
      </c>
      <c r="C194" s="53">
        <v>9</v>
      </c>
      <c r="D194" s="53">
        <v>7</v>
      </c>
      <c r="E194" s="58"/>
      <c r="F194" s="58"/>
      <c r="G194" s="53" t="s">
        <v>39</v>
      </c>
      <c r="H194" s="53">
        <v>2</v>
      </c>
      <c r="I194" s="53">
        <v>9029</v>
      </c>
      <c r="J194" s="53">
        <v>7</v>
      </c>
      <c r="K194" s="53" t="s">
        <v>29</v>
      </c>
      <c r="L194" s="53">
        <v>1</v>
      </c>
      <c r="M194" s="53"/>
      <c r="N194" s="53"/>
      <c r="O194" s="55">
        <v>8.0399999999999991</v>
      </c>
      <c r="P194" s="55">
        <v>8</v>
      </c>
      <c r="Q194" s="55">
        <f t="shared" si="8"/>
        <v>-3.9999999999999147E-2</v>
      </c>
      <c r="R194" s="55"/>
      <c r="S194" s="55" t="str">
        <f t="shared" si="7"/>
        <v/>
      </c>
      <c r="T194" s="12"/>
      <c r="U194" s="12"/>
      <c r="V194" s="12"/>
      <c r="W194" s="12"/>
      <c r="X194" s="53"/>
      <c r="Y194" s="53"/>
      <c r="Z194" s="54">
        <v>1</v>
      </c>
      <c r="AA194" s="54"/>
      <c r="AB194" s="56"/>
      <c r="AC194" s="53"/>
      <c r="AD194" s="59"/>
    </row>
    <row r="195" spans="1:30" s="57" customFormat="1" ht="21" customHeight="1">
      <c r="A195" s="53">
        <v>177</v>
      </c>
      <c r="B195" s="53">
        <v>3</v>
      </c>
      <c r="C195" s="53">
        <v>9</v>
      </c>
      <c r="D195" s="53">
        <v>7</v>
      </c>
      <c r="E195" s="58"/>
      <c r="F195" s="58"/>
      <c r="G195" s="53" t="s">
        <v>39</v>
      </c>
      <c r="H195" s="53">
        <v>1</v>
      </c>
      <c r="I195" s="53">
        <v>9030</v>
      </c>
      <c r="J195" s="53">
        <v>5</v>
      </c>
      <c r="K195" s="53" t="s">
        <v>29</v>
      </c>
      <c r="L195" s="53">
        <v>1</v>
      </c>
      <c r="M195" s="53"/>
      <c r="N195" s="53"/>
      <c r="O195" s="55">
        <v>8.0399999999999991</v>
      </c>
      <c r="P195" s="55">
        <v>8.02</v>
      </c>
      <c r="Q195" s="55">
        <f t="shared" si="8"/>
        <v>-1.9999999999999574E-2</v>
      </c>
      <c r="R195" s="55"/>
      <c r="S195" s="55" t="str">
        <f t="shared" si="7"/>
        <v/>
      </c>
      <c r="T195" s="12"/>
      <c r="U195" s="12"/>
      <c r="V195" s="12"/>
      <c r="W195" s="12"/>
      <c r="X195" s="53"/>
      <c r="Y195" s="53"/>
      <c r="Z195" s="54">
        <v>1</v>
      </c>
      <c r="AA195" s="54"/>
      <c r="AB195" s="56"/>
      <c r="AC195" s="53"/>
      <c r="AD195" s="59"/>
    </row>
    <row r="196" spans="1:30" s="57" customFormat="1" ht="37.5">
      <c r="A196" s="53">
        <v>178</v>
      </c>
      <c r="B196" s="53">
        <v>3</v>
      </c>
      <c r="C196" s="53">
        <v>9</v>
      </c>
      <c r="D196" s="53">
        <v>7</v>
      </c>
      <c r="E196" s="58"/>
      <c r="F196" s="58"/>
      <c r="G196" s="53" t="s">
        <v>39</v>
      </c>
      <c r="H196" s="53">
        <v>2</v>
      </c>
      <c r="I196" s="53">
        <v>9030</v>
      </c>
      <c r="J196" s="53">
        <v>9</v>
      </c>
      <c r="K196" s="53" t="s">
        <v>29</v>
      </c>
      <c r="L196" s="53">
        <v>1</v>
      </c>
      <c r="M196" s="53"/>
      <c r="N196" s="53"/>
      <c r="O196" s="55">
        <v>8.0399999999999991</v>
      </c>
      <c r="P196" s="55">
        <v>8</v>
      </c>
      <c r="Q196" s="55">
        <f t="shared" si="8"/>
        <v>-3.9999999999999147E-2</v>
      </c>
      <c r="R196" s="55"/>
      <c r="S196" s="55" t="str">
        <f t="shared" si="7"/>
        <v/>
      </c>
      <c r="T196" s="12"/>
      <c r="U196" s="12"/>
      <c r="V196" s="12"/>
      <c r="W196" s="12"/>
      <c r="X196" s="53"/>
      <c r="Y196" s="53"/>
      <c r="Z196" s="54">
        <v>1</v>
      </c>
      <c r="AA196" s="54"/>
      <c r="AB196" s="56"/>
      <c r="AC196" s="53"/>
      <c r="AD196" s="59"/>
    </row>
    <row r="197" spans="1:30" s="57" customFormat="1" ht="37.5">
      <c r="A197" s="53">
        <v>179</v>
      </c>
      <c r="B197" s="53">
        <v>3</v>
      </c>
      <c r="C197" s="53">
        <v>9</v>
      </c>
      <c r="D197" s="53">
        <v>7</v>
      </c>
      <c r="E197" s="58"/>
      <c r="F197" s="58"/>
      <c r="G197" s="53" t="s">
        <v>39</v>
      </c>
      <c r="H197" s="53">
        <v>2</v>
      </c>
      <c r="I197" s="53">
        <v>9031</v>
      </c>
      <c r="J197" s="53">
        <v>4</v>
      </c>
      <c r="K197" s="53" t="s">
        <v>29</v>
      </c>
      <c r="L197" s="53">
        <v>1</v>
      </c>
      <c r="M197" s="53"/>
      <c r="N197" s="53"/>
      <c r="O197" s="55">
        <v>8.0500000000000007</v>
      </c>
      <c r="P197" s="55">
        <v>8.02</v>
      </c>
      <c r="Q197" s="55">
        <f t="shared" si="8"/>
        <v>-3.0000000000001137E-2</v>
      </c>
      <c r="R197" s="55"/>
      <c r="S197" s="55" t="str">
        <f t="shared" si="7"/>
        <v/>
      </c>
      <c r="T197" s="12"/>
      <c r="U197" s="12"/>
      <c r="V197" s="12"/>
      <c r="W197" s="12"/>
      <c r="X197" s="53"/>
      <c r="Y197" s="53"/>
      <c r="Z197" s="54">
        <v>1</v>
      </c>
      <c r="AA197" s="54"/>
      <c r="AB197" s="56"/>
      <c r="AC197" s="53"/>
      <c r="AD197" s="59"/>
    </row>
    <row r="198" spans="1:30" s="57" customFormat="1" ht="37.5">
      <c r="A198" s="53">
        <v>180</v>
      </c>
      <c r="B198" s="53">
        <v>3</v>
      </c>
      <c r="C198" s="53">
        <v>9</v>
      </c>
      <c r="D198" s="53">
        <v>7</v>
      </c>
      <c r="E198" s="58"/>
      <c r="F198" s="58"/>
      <c r="G198" s="53" t="s">
        <v>39</v>
      </c>
      <c r="H198" s="53">
        <v>2</v>
      </c>
      <c r="I198" s="53">
        <v>9031</v>
      </c>
      <c r="J198" s="53">
        <v>5</v>
      </c>
      <c r="K198" s="53" t="s">
        <v>29</v>
      </c>
      <c r="L198" s="53">
        <v>1</v>
      </c>
      <c r="M198" s="53"/>
      <c r="N198" s="53"/>
      <c r="O198" s="55">
        <v>8.14</v>
      </c>
      <c r="P198" s="55">
        <v>8.11</v>
      </c>
      <c r="Q198" s="55">
        <f t="shared" si="8"/>
        <v>-3.0000000000001137E-2</v>
      </c>
      <c r="R198" s="55"/>
      <c r="S198" s="55" t="str">
        <f t="shared" si="7"/>
        <v/>
      </c>
      <c r="T198" s="12"/>
      <c r="U198" s="12"/>
      <c r="V198" s="12"/>
      <c r="W198" s="12"/>
      <c r="X198" s="53"/>
      <c r="Y198" s="53"/>
      <c r="Z198" s="54">
        <v>1</v>
      </c>
      <c r="AA198" s="54"/>
      <c r="AB198" s="56"/>
      <c r="AC198" s="53"/>
      <c r="AD198" s="59"/>
    </row>
    <row r="199" spans="1:30" s="57" customFormat="1" ht="37.5">
      <c r="A199" s="53">
        <v>181</v>
      </c>
      <c r="B199" s="53">
        <v>3</v>
      </c>
      <c r="C199" s="53">
        <v>9</v>
      </c>
      <c r="D199" s="53">
        <v>7</v>
      </c>
      <c r="E199" s="58"/>
      <c r="F199" s="58"/>
      <c r="G199" s="53" t="s">
        <v>39</v>
      </c>
      <c r="H199" s="53">
        <v>2</v>
      </c>
      <c r="I199" s="53">
        <v>9031</v>
      </c>
      <c r="J199" s="53">
        <v>6</v>
      </c>
      <c r="K199" s="53" t="s">
        <v>29</v>
      </c>
      <c r="L199" s="53">
        <v>1</v>
      </c>
      <c r="M199" s="53"/>
      <c r="N199" s="53"/>
      <c r="O199" s="55">
        <v>8.1999999999999993</v>
      </c>
      <c r="P199" s="55">
        <v>8.17</v>
      </c>
      <c r="Q199" s="55">
        <f t="shared" si="8"/>
        <v>-2.9999999999999361E-2</v>
      </c>
      <c r="R199" s="55"/>
      <c r="S199" s="55" t="str">
        <f t="shared" si="7"/>
        <v/>
      </c>
      <c r="T199" s="12"/>
      <c r="U199" s="12"/>
      <c r="V199" s="12"/>
      <c r="W199" s="12"/>
      <c r="X199" s="53"/>
      <c r="Y199" s="53"/>
      <c r="Z199" s="54">
        <v>1</v>
      </c>
      <c r="AA199" s="54"/>
      <c r="AB199" s="56"/>
      <c r="AC199" s="53"/>
      <c r="AD199" s="59"/>
    </row>
    <row r="200" spans="1:30" s="57" customFormat="1" ht="37.5">
      <c r="A200" s="53">
        <v>182</v>
      </c>
      <c r="B200" s="53">
        <v>3</v>
      </c>
      <c r="C200" s="53">
        <v>9</v>
      </c>
      <c r="D200" s="53">
        <v>7</v>
      </c>
      <c r="E200" s="58"/>
      <c r="F200" s="58"/>
      <c r="G200" s="53" t="s">
        <v>39</v>
      </c>
      <c r="H200" s="53">
        <v>2</v>
      </c>
      <c r="I200" s="53">
        <v>9031</v>
      </c>
      <c r="J200" s="53">
        <v>8</v>
      </c>
      <c r="K200" s="53" t="s">
        <v>29</v>
      </c>
      <c r="L200" s="53">
        <v>1</v>
      </c>
      <c r="M200" s="53"/>
      <c r="N200" s="53"/>
      <c r="O200" s="55">
        <v>8.06</v>
      </c>
      <c r="P200" s="55">
        <v>8.0399999999999991</v>
      </c>
      <c r="Q200" s="55">
        <f t="shared" si="8"/>
        <v>-2.000000000000135E-2</v>
      </c>
      <c r="R200" s="55"/>
      <c r="S200" s="55" t="str">
        <f t="shared" si="7"/>
        <v/>
      </c>
      <c r="T200" s="12"/>
      <c r="U200" s="12"/>
      <c r="V200" s="12"/>
      <c r="W200" s="12"/>
      <c r="X200" s="53"/>
      <c r="Y200" s="53"/>
      <c r="Z200" s="54">
        <v>1</v>
      </c>
      <c r="AA200" s="54"/>
      <c r="AB200" s="56"/>
      <c r="AC200" s="53"/>
      <c r="AD200" s="59"/>
    </row>
    <row r="201" spans="1:30" s="57" customFormat="1" ht="37.5">
      <c r="A201" s="53">
        <v>183</v>
      </c>
      <c r="B201" s="53">
        <v>3</v>
      </c>
      <c r="C201" s="53">
        <v>9</v>
      </c>
      <c r="D201" s="53">
        <v>7</v>
      </c>
      <c r="E201" s="58"/>
      <c r="F201" s="58"/>
      <c r="G201" s="53" t="s">
        <v>39</v>
      </c>
      <c r="H201" s="53">
        <v>1</v>
      </c>
      <c r="I201" s="53">
        <v>9032</v>
      </c>
      <c r="J201" s="53">
        <v>3</v>
      </c>
      <c r="K201" s="53" t="s">
        <v>31</v>
      </c>
      <c r="L201" s="53">
        <v>1</v>
      </c>
      <c r="M201" s="53"/>
      <c r="N201" s="53"/>
      <c r="O201" s="55">
        <v>8.64</v>
      </c>
      <c r="P201" s="55">
        <v>8.61</v>
      </c>
      <c r="Q201" s="55">
        <f t="shared" si="8"/>
        <v>-3.0000000000001137E-2</v>
      </c>
      <c r="R201" s="55"/>
      <c r="S201" s="55" t="str">
        <f t="shared" si="7"/>
        <v/>
      </c>
      <c r="T201" s="12"/>
      <c r="U201" s="12"/>
      <c r="V201" s="12"/>
      <c r="W201" s="12"/>
      <c r="X201" s="53"/>
      <c r="Y201" s="53"/>
      <c r="Z201" s="54">
        <v>1</v>
      </c>
      <c r="AA201" s="54"/>
      <c r="AB201" s="56"/>
      <c r="AC201" s="53"/>
      <c r="AD201" s="59"/>
    </row>
    <row r="202" spans="1:30" s="57" customFormat="1" ht="37.5">
      <c r="A202" s="53">
        <v>184</v>
      </c>
      <c r="B202" s="53">
        <v>3</v>
      </c>
      <c r="C202" s="53">
        <v>9</v>
      </c>
      <c r="D202" s="53">
        <v>7</v>
      </c>
      <c r="E202" s="58"/>
      <c r="F202" s="58"/>
      <c r="G202" s="53" t="s">
        <v>39</v>
      </c>
      <c r="H202" s="53">
        <v>2</v>
      </c>
      <c r="I202" s="53">
        <v>9032</v>
      </c>
      <c r="J202" s="53">
        <v>7</v>
      </c>
      <c r="K202" s="53" t="s">
        <v>29</v>
      </c>
      <c r="L202" s="53">
        <v>1</v>
      </c>
      <c r="M202" s="53"/>
      <c r="N202" s="53"/>
      <c r="O202" s="55">
        <v>9.82</v>
      </c>
      <c r="P202" s="55">
        <v>9.7899999999999991</v>
      </c>
      <c r="Q202" s="55">
        <f t="shared" si="8"/>
        <v>-3.0000000000001137E-2</v>
      </c>
      <c r="R202" s="55"/>
      <c r="S202" s="55" t="str">
        <f t="shared" si="7"/>
        <v/>
      </c>
      <c r="T202" s="12"/>
      <c r="U202" s="12"/>
      <c r="V202" s="12"/>
      <c r="W202" s="12"/>
      <c r="X202" s="53"/>
      <c r="Y202" s="53"/>
      <c r="Z202" s="54">
        <v>1</v>
      </c>
      <c r="AA202" s="54"/>
      <c r="AB202" s="56"/>
      <c r="AC202" s="53"/>
      <c r="AD202" s="59"/>
    </row>
    <row r="203" spans="1:30" s="57" customFormat="1" ht="37.5">
      <c r="A203" s="53">
        <v>185</v>
      </c>
      <c r="B203" s="53">
        <v>3</v>
      </c>
      <c r="C203" s="53">
        <v>9</v>
      </c>
      <c r="D203" s="53">
        <v>7</v>
      </c>
      <c r="E203" s="58"/>
      <c r="F203" s="58"/>
      <c r="G203" s="53" t="s">
        <v>39</v>
      </c>
      <c r="H203" s="53">
        <v>2</v>
      </c>
      <c r="I203" s="53">
        <v>9032</v>
      </c>
      <c r="J203" s="53">
        <v>10</v>
      </c>
      <c r="K203" s="53" t="s">
        <v>29</v>
      </c>
      <c r="L203" s="53">
        <v>1</v>
      </c>
      <c r="M203" s="53"/>
      <c r="N203" s="53"/>
      <c r="O203" s="55">
        <v>8.39</v>
      </c>
      <c r="P203" s="55">
        <v>8.35</v>
      </c>
      <c r="Q203" s="55">
        <f t="shared" si="8"/>
        <v>-4.0000000000000924E-2</v>
      </c>
      <c r="R203" s="55"/>
      <c r="S203" s="55" t="str">
        <f t="shared" si="7"/>
        <v/>
      </c>
      <c r="T203" s="12"/>
      <c r="U203" s="12"/>
      <c r="V203" s="12"/>
      <c r="W203" s="12"/>
      <c r="X203" s="53"/>
      <c r="Y203" s="53"/>
      <c r="Z203" s="54">
        <v>1</v>
      </c>
      <c r="AA203" s="54"/>
      <c r="AB203" s="56"/>
      <c r="AC203" s="53"/>
      <c r="AD203" s="59"/>
    </row>
    <row r="204" spans="1:30" s="57" customFormat="1" ht="37.5">
      <c r="A204" s="53">
        <v>186</v>
      </c>
      <c r="B204" s="53">
        <v>3</v>
      </c>
      <c r="C204" s="53">
        <v>9</v>
      </c>
      <c r="D204" s="53">
        <v>7</v>
      </c>
      <c r="E204" s="58"/>
      <c r="F204" s="58"/>
      <c r="G204" s="53" t="s">
        <v>39</v>
      </c>
      <c r="H204" s="53">
        <v>2</v>
      </c>
      <c r="I204" s="53">
        <v>9033</v>
      </c>
      <c r="J204" s="53">
        <v>5</v>
      </c>
      <c r="K204" s="53" t="s">
        <v>29</v>
      </c>
      <c r="L204" s="53">
        <v>1</v>
      </c>
      <c r="M204" s="53"/>
      <c r="N204" s="53"/>
      <c r="O204" s="55">
        <v>10.07</v>
      </c>
      <c r="P204" s="55">
        <v>10.039999999999999</v>
      </c>
      <c r="Q204" s="55">
        <f t="shared" si="8"/>
        <v>-3.0000000000001137E-2</v>
      </c>
      <c r="R204" s="55"/>
      <c r="S204" s="55" t="str">
        <f t="shared" si="7"/>
        <v/>
      </c>
      <c r="T204" s="12"/>
      <c r="U204" s="12"/>
      <c r="V204" s="12"/>
      <c r="W204" s="12"/>
      <c r="X204" s="53"/>
      <c r="Y204" s="53"/>
      <c r="Z204" s="54">
        <v>1</v>
      </c>
      <c r="AA204" s="54" t="s">
        <v>30</v>
      </c>
      <c r="AB204" s="56"/>
      <c r="AC204" s="53"/>
      <c r="AD204" s="59"/>
    </row>
    <row r="205" spans="1:30" s="57" customFormat="1" ht="37.5">
      <c r="A205" s="53">
        <v>187</v>
      </c>
      <c r="B205" s="53">
        <v>3</v>
      </c>
      <c r="C205" s="53">
        <v>9</v>
      </c>
      <c r="D205" s="53">
        <v>7</v>
      </c>
      <c r="E205" s="58"/>
      <c r="F205" s="58"/>
      <c r="G205" s="53" t="s">
        <v>39</v>
      </c>
      <c r="H205" s="53">
        <v>2</v>
      </c>
      <c r="I205" s="53">
        <v>9033</v>
      </c>
      <c r="J205" s="53">
        <v>7</v>
      </c>
      <c r="K205" s="53" t="s">
        <v>29</v>
      </c>
      <c r="L205" s="53">
        <v>1</v>
      </c>
      <c r="M205" s="53"/>
      <c r="N205" s="53"/>
      <c r="O205" s="55">
        <v>8.7200000000000006</v>
      </c>
      <c r="P205" s="55">
        <v>8.69</v>
      </c>
      <c r="Q205" s="55">
        <f t="shared" si="8"/>
        <v>-3.0000000000001137E-2</v>
      </c>
      <c r="R205" s="55"/>
      <c r="S205" s="55" t="str">
        <f t="shared" si="7"/>
        <v/>
      </c>
      <c r="T205" s="12"/>
      <c r="U205" s="12"/>
      <c r="V205" s="12"/>
      <c r="W205" s="12"/>
      <c r="X205" s="53"/>
      <c r="Y205" s="53"/>
      <c r="Z205" s="54">
        <v>1</v>
      </c>
      <c r="AA205" s="54" t="s">
        <v>30</v>
      </c>
      <c r="AB205" s="56"/>
      <c r="AC205" s="53"/>
      <c r="AD205" s="59"/>
    </row>
    <row r="206" spans="1:30" s="57" customFormat="1" ht="37.5">
      <c r="A206" s="53">
        <v>188</v>
      </c>
      <c r="B206" s="53">
        <v>3</v>
      </c>
      <c r="C206" s="53">
        <v>9</v>
      </c>
      <c r="D206" s="53">
        <v>7</v>
      </c>
      <c r="E206" s="58"/>
      <c r="F206" s="58"/>
      <c r="G206" s="53" t="s">
        <v>39</v>
      </c>
      <c r="H206" s="53">
        <v>2</v>
      </c>
      <c r="I206" s="53">
        <v>9034</v>
      </c>
      <c r="J206" s="53">
        <v>2</v>
      </c>
      <c r="K206" s="53" t="s">
        <v>29</v>
      </c>
      <c r="L206" s="53">
        <v>1</v>
      </c>
      <c r="M206" s="53"/>
      <c r="N206" s="53"/>
      <c r="O206" s="55">
        <v>8.16</v>
      </c>
      <c r="P206" s="55">
        <v>8.1199999999999992</v>
      </c>
      <c r="Q206" s="55">
        <f t="shared" si="8"/>
        <v>-4.0000000000000924E-2</v>
      </c>
      <c r="R206" s="55"/>
      <c r="S206" s="55" t="str">
        <f t="shared" si="7"/>
        <v/>
      </c>
      <c r="T206" s="12"/>
      <c r="U206" s="12"/>
      <c r="V206" s="12"/>
      <c r="W206" s="12"/>
      <c r="X206" s="53"/>
      <c r="Y206" s="53"/>
      <c r="Z206" s="54">
        <v>1</v>
      </c>
      <c r="AA206" s="54"/>
      <c r="AB206" s="56"/>
      <c r="AC206" s="53"/>
      <c r="AD206" s="59"/>
    </row>
    <row r="207" spans="1:30" s="57" customFormat="1" ht="37.5">
      <c r="A207" s="53">
        <v>189</v>
      </c>
      <c r="B207" s="53">
        <v>3</v>
      </c>
      <c r="C207" s="53">
        <v>9</v>
      </c>
      <c r="D207" s="53">
        <v>7</v>
      </c>
      <c r="E207" s="58"/>
      <c r="F207" s="58"/>
      <c r="G207" s="53" t="s">
        <v>39</v>
      </c>
      <c r="H207" s="53">
        <v>2</v>
      </c>
      <c r="I207" s="53">
        <v>9034</v>
      </c>
      <c r="J207" s="53">
        <v>3</v>
      </c>
      <c r="K207" s="53" t="s">
        <v>31</v>
      </c>
      <c r="L207" s="53">
        <v>1</v>
      </c>
      <c r="M207" s="53"/>
      <c r="N207" s="53"/>
      <c r="O207" s="55">
        <v>12.06</v>
      </c>
      <c r="P207" s="55">
        <v>12.03</v>
      </c>
      <c r="Q207" s="55">
        <f t="shared" si="8"/>
        <v>-3.0000000000001137E-2</v>
      </c>
      <c r="R207" s="55"/>
      <c r="S207" s="55" t="str">
        <f t="shared" ref="S207:S265" si="9">IF(R207&gt;0,R207-P207,"")</f>
        <v/>
      </c>
      <c r="T207" s="12"/>
      <c r="U207" s="12"/>
      <c r="V207" s="12"/>
      <c r="W207" s="12"/>
      <c r="X207" s="53"/>
      <c r="Y207" s="53"/>
      <c r="Z207" s="54">
        <v>1</v>
      </c>
      <c r="AA207" s="54"/>
      <c r="AB207" s="56"/>
      <c r="AC207" s="53"/>
      <c r="AD207" s="59"/>
    </row>
    <row r="208" spans="1:30" s="57" customFormat="1" ht="37.5">
      <c r="A208" s="53">
        <v>190</v>
      </c>
      <c r="B208" s="53">
        <v>3</v>
      </c>
      <c r="C208" s="53">
        <v>9</v>
      </c>
      <c r="D208" s="53">
        <v>7</v>
      </c>
      <c r="E208" s="58"/>
      <c r="F208" s="58"/>
      <c r="G208" s="53" t="s">
        <v>39</v>
      </c>
      <c r="H208" s="53">
        <v>1</v>
      </c>
      <c r="I208" s="53">
        <v>9034</v>
      </c>
      <c r="J208" s="53">
        <v>7</v>
      </c>
      <c r="K208" s="53" t="s">
        <v>29</v>
      </c>
      <c r="L208" s="53">
        <v>1</v>
      </c>
      <c r="M208" s="53"/>
      <c r="N208" s="53"/>
      <c r="O208" s="55">
        <v>8.23</v>
      </c>
      <c r="P208" s="55">
        <v>8.1999999999999993</v>
      </c>
      <c r="Q208" s="55">
        <f t="shared" si="8"/>
        <v>-3.0000000000001137E-2</v>
      </c>
      <c r="R208" s="55"/>
      <c r="S208" s="55" t="str">
        <f t="shared" si="9"/>
        <v/>
      </c>
      <c r="T208" s="12"/>
      <c r="U208" s="12"/>
      <c r="V208" s="12"/>
      <c r="W208" s="12"/>
      <c r="X208" s="53"/>
      <c r="Y208" s="53"/>
      <c r="Z208" s="54">
        <v>1</v>
      </c>
      <c r="AA208" s="54"/>
      <c r="AB208" s="56"/>
      <c r="AC208" s="53"/>
      <c r="AD208" s="59"/>
    </row>
    <row r="209" spans="1:30" s="57" customFormat="1" ht="37.5">
      <c r="A209" s="53">
        <v>191</v>
      </c>
      <c r="B209" s="53">
        <v>3</v>
      </c>
      <c r="C209" s="53">
        <v>9</v>
      </c>
      <c r="D209" s="53">
        <v>7</v>
      </c>
      <c r="E209" s="58"/>
      <c r="F209" s="58"/>
      <c r="G209" s="53" t="s">
        <v>39</v>
      </c>
      <c r="H209" s="53">
        <v>1</v>
      </c>
      <c r="I209" s="53">
        <v>9034</v>
      </c>
      <c r="J209" s="53">
        <v>10</v>
      </c>
      <c r="K209" s="53" t="s">
        <v>29</v>
      </c>
      <c r="L209" s="53">
        <v>1</v>
      </c>
      <c r="M209" s="53"/>
      <c r="N209" s="53"/>
      <c r="O209" s="55">
        <v>8.23</v>
      </c>
      <c r="P209" s="55">
        <v>8.1999999999999993</v>
      </c>
      <c r="Q209" s="55">
        <f t="shared" si="8"/>
        <v>-3.0000000000001137E-2</v>
      </c>
      <c r="R209" s="55"/>
      <c r="S209" s="55" t="str">
        <f t="shared" si="9"/>
        <v/>
      </c>
      <c r="T209" s="12"/>
      <c r="U209" s="12"/>
      <c r="V209" s="12"/>
      <c r="W209" s="12"/>
      <c r="X209" s="53"/>
      <c r="Y209" s="53"/>
      <c r="Z209" s="54">
        <v>1</v>
      </c>
      <c r="AA209" s="54"/>
      <c r="AB209" s="56"/>
      <c r="AC209" s="53"/>
      <c r="AD209" s="59"/>
    </row>
    <row r="210" spans="1:30" s="57" customFormat="1" ht="37.5">
      <c r="A210" s="53">
        <v>192</v>
      </c>
      <c r="B210" s="53">
        <v>3</v>
      </c>
      <c r="C210" s="53">
        <v>9</v>
      </c>
      <c r="D210" s="53">
        <v>7</v>
      </c>
      <c r="E210" s="58"/>
      <c r="F210" s="58"/>
      <c r="G210" s="53" t="s">
        <v>39</v>
      </c>
      <c r="H210" s="53">
        <v>2</v>
      </c>
      <c r="I210" s="53">
        <v>9036</v>
      </c>
      <c r="J210" s="53">
        <v>5</v>
      </c>
      <c r="K210" s="53" t="s">
        <v>31</v>
      </c>
      <c r="L210" s="53">
        <v>1</v>
      </c>
      <c r="M210" s="53"/>
      <c r="N210" s="53"/>
      <c r="O210" s="55">
        <v>8.23</v>
      </c>
      <c r="P210" s="55">
        <v>8.1999999999999993</v>
      </c>
      <c r="Q210" s="55">
        <f t="shared" si="8"/>
        <v>-3.0000000000001137E-2</v>
      </c>
      <c r="R210" s="55"/>
      <c r="S210" s="55" t="str">
        <f t="shared" si="9"/>
        <v/>
      </c>
      <c r="T210" s="12"/>
      <c r="U210" s="12"/>
      <c r="V210" s="12"/>
      <c r="W210" s="12"/>
      <c r="X210" s="53"/>
      <c r="Y210" s="53"/>
      <c r="Z210" s="54">
        <v>1</v>
      </c>
      <c r="AA210" s="54"/>
      <c r="AB210" s="56"/>
      <c r="AC210" s="53"/>
      <c r="AD210" s="59"/>
    </row>
    <row r="211" spans="1:30" s="57" customFormat="1" ht="24.75" customHeight="1">
      <c r="A211" s="53">
        <v>193</v>
      </c>
      <c r="B211" s="53">
        <v>3</v>
      </c>
      <c r="C211" s="53">
        <v>9</v>
      </c>
      <c r="D211" s="53">
        <v>7</v>
      </c>
      <c r="E211" s="58"/>
      <c r="F211" s="58"/>
      <c r="G211" s="53" t="s">
        <v>39</v>
      </c>
      <c r="H211" s="53">
        <v>1</v>
      </c>
      <c r="I211" s="53">
        <v>9036</v>
      </c>
      <c r="J211" s="53">
        <v>6</v>
      </c>
      <c r="K211" s="53" t="s">
        <v>31</v>
      </c>
      <c r="L211" s="53">
        <v>1</v>
      </c>
      <c r="M211" s="53"/>
      <c r="N211" s="53"/>
      <c r="O211" s="55">
        <v>8.1300000000000008</v>
      </c>
      <c r="P211" s="55">
        <v>8.1</v>
      </c>
      <c r="Q211" s="55">
        <f t="shared" si="8"/>
        <v>-3.0000000000001137E-2</v>
      </c>
      <c r="R211" s="55"/>
      <c r="S211" s="55" t="str">
        <f t="shared" si="9"/>
        <v/>
      </c>
      <c r="T211" s="12"/>
      <c r="U211" s="12"/>
      <c r="V211" s="12"/>
      <c r="W211" s="12"/>
      <c r="X211" s="53"/>
      <c r="Y211" s="53"/>
      <c r="Z211" s="54">
        <v>1</v>
      </c>
      <c r="AA211" s="54"/>
      <c r="AB211" s="56"/>
      <c r="AC211" s="53"/>
      <c r="AD211" s="59"/>
    </row>
    <row r="212" spans="1:30" s="57" customFormat="1" ht="30.75" customHeight="1">
      <c r="A212" s="53">
        <v>194</v>
      </c>
      <c r="B212" s="53">
        <v>3</v>
      </c>
      <c r="C212" s="53">
        <v>9</v>
      </c>
      <c r="D212" s="53">
        <v>7</v>
      </c>
      <c r="E212" s="58"/>
      <c r="F212" s="58"/>
      <c r="G212" s="53" t="s">
        <v>39</v>
      </c>
      <c r="H212" s="53">
        <v>1</v>
      </c>
      <c r="I212" s="53">
        <v>9036</v>
      </c>
      <c r="J212" s="53">
        <v>6</v>
      </c>
      <c r="K212" s="53" t="s">
        <v>29</v>
      </c>
      <c r="L212" s="53">
        <v>1</v>
      </c>
      <c r="M212" s="53"/>
      <c r="N212" s="53"/>
      <c r="O212" s="55">
        <v>8.1</v>
      </c>
      <c r="P212" s="55">
        <v>8.06</v>
      </c>
      <c r="Q212" s="55">
        <f t="shared" si="8"/>
        <v>-3.9999999999999147E-2</v>
      </c>
      <c r="R212" s="55"/>
      <c r="S212" s="55" t="str">
        <f t="shared" si="9"/>
        <v/>
      </c>
      <c r="T212" s="12"/>
      <c r="U212" s="12"/>
      <c r="V212" s="12"/>
      <c r="W212" s="12"/>
      <c r="X212" s="53"/>
      <c r="Y212" s="53"/>
      <c r="Z212" s="54">
        <v>1</v>
      </c>
      <c r="AA212" s="54"/>
      <c r="AB212" s="56"/>
      <c r="AC212" s="53"/>
      <c r="AD212" s="59"/>
    </row>
    <row r="213" spans="1:30" s="57" customFormat="1" ht="25.5" customHeight="1">
      <c r="A213" s="53">
        <v>195</v>
      </c>
      <c r="B213" s="53">
        <v>3</v>
      </c>
      <c r="C213" s="53">
        <v>9</v>
      </c>
      <c r="D213" s="53">
        <v>7</v>
      </c>
      <c r="E213" s="58"/>
      <c r="F213" s="58"/>
      <c r="G213" s="53" t="s">
        <v>39</v>
      </c>
      <c r="H213" s="53">
        <v>1</v>
      </c>
      <c r="I213" s="53">
        <v>9037</v>
      </c>
      <c r="J213" s="53">
        <v>1</v>
      </c>
      <c r="K213" s="53" t="s">
        <v>29</v>
      </c>
      <c r="L213" s="53">
        <v>1</v>
      </c>
      <c r="M213" s="53"/>
      <c r="N213" s="53"/>
      <c r="O213" s="55">
        <v>8.59</v>
      </c>
      <c r="P213" s="55">
        <v>8.5500000000000007</v>
      </c>
      <c r="Q213" s="55">
        <f t="shared" si="8"/>
        <v>-3.9999999999999147E-2</v>
      </c>
      <c r="R213" s="55"/>
      <c r="S213" s="55" t="str">
        <f t="shared" si="9"/>
        <v/>
      </c>
      <c r="T213" s="12"/>
      <c r="U213" s="12"/>
      <c r="V213" s="12"/>
      <c r="W213" s="12"/>
      <c r="X213" s="53"/>
      <c r="Y213" s="53"/>
      <c r="Z213" s="54">
        <v>1</v>
      </c>
      <c r="AA213" s="54" t="s">
        <v>30</v>
      </c>
      <c r="AB213" s="56"/>
      <c r="AC213" s="53"/>
      <c r="AD213" s="59"/>
    </row>
    <row r="214" spans="1:30" s="57" customFormat="1" ht="20.25" customHeight="1">
      <c r="A214" s="53">
        <v>196</v>
      </c>
      <c r="B214" s="53">
        <v>3</v>
      </c>
      <c r="C214" s="53">
        <v>9</v>
      </c>
      <c r="D214" s="53">
        <v>9</v>
      </c>
      <c r="E214" s="58"/>
      <c r="F214" s="58"/>
      <c r="G214" s="53" t="s">
        <v>39</v>
      </c>
      <c r="H214" s="53">
        <v>1</v>
      </c>
      <c r="I214" s="53">
        <v>9041</v>
      </c>
      <c r="J214" s="53">
        <v>6</v>
      </c>
      <c r="K214" s="53" t="s">
        <v>31</v>
      </c>
      <c r="L214" s="53">
        <v>1</v>
      </c>
      <c r="M214" s="53"/>
      <c r="N214" s="53"/>
      <c r="O214" s="55">
        <v>8.02</v>
      </c>
      <c r="P214" s="55">
        <v>8</v>
      </c>
      <c r="Q214" s="55">
        <f t="shared" si="8"/>
        <v>-1.9999999999999574E-2</v>
      </c>
      <c r="R214" s="55"/>
      <c r="S214" s="55" t="str">
        <f t="shared" si="9"/>
        <v/>
      </c>
      <c r="T214" s="12"/>
      <c r="U214" s="12"/>
      <c r="V214" s="12"/>
      <c r="W214" s="12"/>
      <c r="X214" s="53"/>
      <c r="Y214" s="53"/>
      <c r="Z214" s="54">
        <v>1</v>
      </c>
      <c r="AA214" s="54"/>
      <c r="AB214" s="56"/>
      <c r="AC214" s="53"/>
      <c r="AD214" s="59"/>
    </row>
    <row r="215" spans="1:30" s="57" customFormat="1" ht="20.25" customHeight="1">
      <c r="A215" s="53">
        <v>197</v>
      </c>
      <c r="B215" s="53">
        <v>3</v>
      </c>
      <c r="C215" s="53">
        <v>9</v>
      </c>
      <c r="D215" s="53">
        <v>9</v>
      </c>
      <c r="E215" s="58"/>
      <c r="F215" s="58"/>
      <c r="G215" s="53" t="s">
        <v>39</v>
      </c>
      <c r="H215" s="53">
        <v>1</v>
      </c>
      <c r="I215" s="53">
        <v>9041</v>
      </c>
      <c r="J215" s="53">
        <v>7</v>
      </c>
      <c r="K215" s="53" t="s">
        <v>29</v>
      </c>
      <c r="L215" s="53">
        <v>1</v>
      </c>
      <c r="M215" s="53"/>
      <c r="N215" s="53"/>
      <c r="O215" s="55">
        <v>12.54</v>
      </c>
      <c r="P215" s="55">
        <v>12.5</v>
      </c>
      <c r="Q215" s="55">
        <f t="shared" si="8"/>
        <v>-3.9999999999999147E-2</v>
      </c>
      <c r="R215" s="55"/>
      <c r="S215" s="55" t="str">
        <f t="shared" si="9"/>
        <v/>
      </c>
      <c r="T215" s="12"/>
      <c r="U215" s="12"/>
      <c r="V215" s="12"/>
      <c r="W215" s="12"/>
      <c r="X215" s="53"/>
      <c r="Y215" s="53"/>
      <c r="Z215" s="54" t="s">
        <v>30</v>
      </c>
      <c r="AA215" s="54">
        <v>1</v>
      </c>
      <c r="AB215" s="56"/>
      <c r="AC215" s="53"/>
      <c r="AD215" s="59"/>
    </row>
    <row r="216" spans="1:30" s="57" customFormat="1" ht="20.25" customHeight="1">
      <c r="A216" s="53">
        <v>198</v>
      </c>
      <c r="B216" s="53">
        <v>3</v>
      </c>
      <c r="C216" s="53">
        <v>9</v>
      </c>
      <c r="D216" s="53">
        <v>9</v>
      </c>
      <c r="E216" s="58"/>
      <c r="F216" s="58"/>
      <c r="G216" s="53" t="s">
        <v>39</v>
      </c>
      <c r="H216" s="53">
        <v>1</v>
      </c>
      <c r="I216" s="53">
        <v>9041</v>
      </c>
      <c r="J216" s="53">
        <v>7</v>
      </c>
      <c r="K216" s="53" t="s">
        <v>31</v>
      </c>
      <c r="L216" s="53">
        <v>1</v>
      </c>
      <c r="M216" s="53"/>
      <c r="N216" s="53"/>
      <c r="O216" s="55">
        <v>12.54</v>
      </c>
      <c r="P216" s="55">
        <v>12.5</v>
      </c>
      <c r="Q216" s="55">
        <f t="shared" si="8"/>
        <v>-3.9999999999999147E-2</v>
      </c>
      <c r="R216" s="55"/>
      <c r="S216" s="55" t="str">
        <f t="shared" si="9"/>
        <v/>
      </c>
      <c r="T216" s="12"/>
      <c r="U216" s="12"/>
      <c r="V216" s="12"/>
      <c r="W216" s="12"/>
      <c r="X216" s="53"/>
      <c r="Y216" s="53"/>
      <c r="Z216" s="54"/>
      <c r="AA216" s="54">
        <v>1</v>
      </c>
      <c r="AB216" s="56"/>
      <c r="AC216" s="53"/>
      <c r="AD216" s="59"/>
    </row>
    <row r="217" spans="1:30" s="57" customFormat="1" ht="20.25" customHeight="1">
      <c r="A217" s="53">
        <v>199</v>
      </c>
      <c r="B217" s="53">
        <v>3</v>
      </c>
      <c r="C217" s="53">
        <v>9</v>
      </c>
      <c r="D217" s="53">
        <v>9</v>
      </c>
      <c r="E217" s="58"/>
      <c r="F217" s="58"/>
      <c r="G217" s="53" t="s">
        <v>39</v>
      </c>
      <c r="H217" s="53">
        <v>1</v>
      </c>
      <c r="I217" s="53">
        <v>9041</v>
      </c>
      <c r="J217" s="53">
        <v>9</v>
      </c>
      <c r="K217" s="53" t="s">
        <v>29</v>
      </c>
      <c r="L217" s="53">
        <v>1</v>
      </c>
      <c r="M217" s="53"/>
      <c r="N217" s="53"/>
      <c r="O217" s="55">
        <v>12.54</v>
      </c>
      <c r="P217" s="55">
        <v>12.5</v>
      </c>
      <c r="Q217" s="55">
        <f t="shared" si="8"/>
        <v>-3.9999999999999147E-2</v>
      </c>
      <c r="R217" s="55"/>
      <c r="S217" s="55" t="str">
        <f t="shared" si="9"/>
        <v/>
      </c>
      <c r="T217" s="12"/>
      <c r="U217" s="12"/>
      <c r="V217" s="12"/>
      <c r="W217" s="12"/>
      <c r="X217" s="53"/>
      <c r="Y217" s="53"/>
      <c r="Z217" s="54" t="s">
        <v>30</v>
      </c>
      <c r="AA217" s="54">
        <v>1</v>
      </c>
      <c r="AB217" s="56"/>
      <c r="AC217" s="53"/>
      <c r="AD217" s="59"/>
    </row>
    <row r="218" spans="1:30" s="57" customFormat="1" ht="20.25" customHeight="1">
      <c r="A218" s="53">
        <v>200</v>
      </c>
      <c r="B218" s="53">
        <v>3</v>
      </c>
      <c r="C218" s="53">
        <v>9</v>
      </c>
      <c r="D218" s="53">
        <v>9</v>
      </c>
      <c r="E218" s="58"/>
      <c r="F218" s="58"/>
      <c r="G218" s="53" t="s">
        <v>39</v>
      </c>
      <c r="H218" s="53">
        <v>1</v>
      </c>
      <c r="I218" s="53">
        <v>9041</v>
      </c>
      <c r="J218" s="53">
        <v>9</v>
      </c>
      <c r="K218" s="53" t="s">
        <v>31</v>
      </c>
      <c r="L218" s="53">
        <v>1</v>
      </c>
      <c r="M218" s="53"/>
      <c r="N218" s="53"/>
      <c r="O218" s="55">
        <v>8.06</v>
      </c>
      <c r="P218" s="55">
        <v>8</v>
      </c>
      <c r="Q218" s="55">
        <f t="shared" si="8"/>
        <v>-6.0000000000000497E-2</v>
      </c>
      <c r="R218" s="55"/>
      <c r="S218" s="55" t="str">
        <f t="shared" si="9"/>
        <v/>
      </c>
      <c r="T218" s="12"/>
      <c r="U218" s="12"/>
      <c r="V218" s="12"/>
      <c r="W218" s="12"/>
      <c r="X218" s="53"/>
      <c r="Y218" s="53"/>
      <c r="Z218" s="54">
        <v>1</v>
      </c>
      <c r="AA218" s="54"/>
      <c r="AB218" s="56"/>
      <c r="AC218" s="53"/>
      <c r="AD218" s="59"/>
    </row>
    <row r="219" spans="1:30" s="57" customFormat="1" ht="20.25" customHeight="1">
      <c r="A219" s="53">
        <v>201</v>
      </c>
      <c r="B219" s="53">
        <v>3</v>
      </c>
      <c r="C219" s="53">
        <v>9</v>
      </c>
      <c r="D219" s="53">
        <v>9</v>
      </c>
      <c r="E219" s="58"/>
      <c r="F219" s="58"/>
      <c r="G219" s="53" t="s">
        <v>40</v>
      </c>
      <c r="H219" s="53">
        <v>1</v>
      </c>
      <c r="I219" s="53">
        <v>9046</v>
      </c>
      <c r="J219" s="53">
        <v>7</v>
      </c>
      <c r="K219" s="53" t="s">
        <v>31</v>
      </c>
      <c r="L219" s="53">
        <v>1</v>
      </c>
      <c r="M219" s="53"/>
      <c r="N219" s="53"/>
      <c r="O219" s="55">
        <v>8.2100000000000009</v>
      </c>
      <c r="P219" s="55">
        <v>8.18</v>
      </c>
      <c r="Q219" s="55">
        <f t="shared" ref="Q219:Q235" si="10">P219-O219</f>
        <v>-3.0000000000001137E-2</v>
      </c>
      <c r="R219" s="55"/>
      <c r="S219" s="55" t="str">
        <f t="shared" si="9"/>
        <v/>
      </c>
      <c r="T219" s="12"/>
      <c r="U219" s="12"/>
      <c r="V219" s="12"/>
      <c r="W219" s="12"/>
      <c r="X219" s="53"/>
      <c r="Y219" s="53"/>
      <c r="Z219" s="54">
        <v>1</v>
      </c>
      <c r="AA219" s="54"/>
      <c r="AB219" s="56"/>
      <c r="AC219" s="53"/>
      <c r="AD219" s="59"/>
    </row>
    <row r="220" spans="1:30" s="57" customFormat="1" ht="20.25">
      <c r="A220" s="53">
        <v>202</v>
      </c>
      <c r="B220" s="53">
        <v>3</v>
      </c>
      <c r="C220" s="53">
        <v>9</v>
      </c>
      <c r="D220" s="53">
        <v>9</v>
      </c>
      <c r="E220" s="58"/>
      <c r="F220" s="58"/>
      <c r="G220" s="53" t="s">
        <v>40</v>
      </c>
      <c r="H220" s="53">
        <v>1</v>
      </c>
      <c r="I220" s="53">
        <v>9047</v>
      </c>
      <c r="J220" s="53">
        <v>1</v>
      </c>
      <c r="K220" s="53" t="s">
        <v>29</v>
      </c>
      <c r="L220" s="53">
        <v>1</v>
      </c>
      <c r="M220" s="53"/>
      <c r="N220" s="53"/>
      <c r="O220" s="55">
        <v>12.54</v>
      </c>
      <c r="P220" s="55">
        <v>12.5</v>
      </c>
      <c r="Q220" s="55">
        <f t="shared" si="10"/>
        <v>-3.9999999999999147E-2</v>
      </c>
      <c r="R220" s="55"/>
      <c r="S220" s="55" t="str">
        <f t="shared" si="9"/>
        <v/>
      </c>
      <c r="T220" s="12"/>
      <c r="U220" s="12"/>
      <c r="V220" s="12"/>
      <c r="W220" s="12"/>
      <c r="X220" s="53"/>
      <c r="Y220" s="53"/>
      <c r="Z220" s="54" t="s">
        <v>30</v>
      </c>
      <c r="AA220" s="54">
        <v>1</v>
      </c>
      <c r="AB220" s="56"/>
      <c r="AC220" s="53"/>
      <c r="AD220" s="59"/>
    </row>
    <row r="221" spans="1:30" s="57" customFormat="1" ht="20.25">
      <c r="A221" s="53">
        <v>203</v>
      </c>
      <c r="B221" s="53">
        <v>3</v>
      </c>
      <c r="C221" s="53">
        <v>9</v>
      </c>
      <c r="D221" s="53">
        <v>9</v>
      </c>
      <c r="E221" s="58"/>
      <c r="F221" s="58"/>
      <c r="G221" s="53" t="s">
        <v>40</v>
      </c>
      <c r="H221" s="53">
        <v>2</v>
      </c>
      <c r="I221" s="53">
        <v>9047</v>
      </c>
      <c r="J221" s="53">
        <v>8</v>
      </c>
      <c r="K221" s="53" t="s">
        <v>31</v>
      </c>
      <c r="L221" s="53">
        <v>1</v>
      </c>
      <c r="M221" s="53"/>
      <c r="N221" s="53"/>
      <c r="O221" s="55">
        <v>12.54</v>
      </c>
      <c r="P221" s="55">
        <v>12.5</v>
      </c>
      <c r="Q221" s="55">
        <f t="shared" si="10"/>
        <v>-3.9999999999999147E-2</v>
      </c>
      <c r="R221" s="55"/>
      <c r="S221" s="55" t="str">
        <f t="shared" si="9"/>
        <v/>
      </c>
      <c r="T221" s="12"/>
      <c r="U221" s="12"/>
      <c r="V221" s="12"/>
      <c r="W221" s="12"/>
      <c r="X221" s="53"/>
      <c r="Y221" s="53"/>
      <c r="Z221" s="54"/>
      <c r="AA221" s="54">
        <v>1</v>
      </c>
      <c r="AB221" s="56"/>
      <c r="AC221" s="53"/>
      <c r="AD221" s="59"/>
    </row>
    <row r="222" spans="1:30" s="57" customFormat="1" ht="20.25">
      <c r="A222" s="53">
        <v>204</v>
      </c>
      <c r="B222" s="53">
        <v>3</v>
      </c>
      <c r="C222" s="53">
        <v>9</v>
      </c>
      <c r="D222" s="53">
        <v>9</v>
      </c>
      <c r="E222" s="58"/>
      <c r="F222" s="58"/>
      <c r="G222" s="53" t="s">
        <v>40</v>
      </c>
      <c r="H222" s="53">
        <v>2</v>
      </c>
      <c r="I222" s="53">
        <v>9048</v>
      </c>
      <c r="J222" s="53">
        <v>3</v>
      </c>
      <c r="K222" s="53" t="s">
        <v>31</v>
      </c>
      <c r="L222" s="53">
        <v>1</v>
      </c>
      <c r="M222" s="53"/>
      <c r="N222" s="53"/>
      <c r="O222" s="55">
        <v>12.54</v>
      </c>
      <c r="P222" s="55">
        <v>12.5</v>
      </c>
      <c r="Q222" s="55">
        <f t="shared" si="10"/>
        <v>-3.9999999999999147E-2</v>
      </c>
      <c r="R222" s="55"/>
      <c r="S222" s="55" t="str">
        <f t="shared" si="9"/>
        <v/>
      </c>
      <c r="T222" s="12"/>
      <c r="U222" s="12"/>
      <c r="V222" s="12"/>
      <c r="W222" s="12"/>
      <c r="X222" s="53"/>
      <c r="Y222" s="53"/>
      <c r="Z222" s="54"/>
      <c r="AA222" s="54">
        <v>1</v>
      </c>
      <c r="AB222" s="56"/>
      <c r="AC222" s="53"/>
      <c r="AD222" s="59"/>
    </row>
    <row r="223" spans="1:30" s="57" customFormat="1" ht="20.25">
      <c r="A223" s="53">
        <v>205</v>
      </c>
      <c r="B223" s="53">
        <v>3</v>
      </c>
      <c r="C223" s="53">
        <v>9</v>
      </c>
      <c r="D223" s="53">
        <v>9</v>
      </c>
      <c r="E223" s="58"/>
      <c r="F223" s="58"/>
      <c r="G223" s="53" t="s">
        <v>40</v>
      </c>
      <c r="H223" s="53">
        <v>2</v>
      </c>
      <c r="I223" s="53">
        <v>9048</v>
      </c>
      <c r="J223" s="53">
        <v>3</v>
      </c>
      <c r="K223" s="53" t="s">
        <v>29</v>
      </c>
      <c r="L223" s="53">
        <v>1</v>
      </c>
      <c r="M223" s="53"/>
      <c r="N223" s="53"/>
      <c r="O223" s="55">
        <v>12.54</v>
      </c>
      <c r="P223" s="55">
        <v>12.5</v>
      </c>
      <c r="Q223" s="55">
        <f t="shared" si="10"/>
        <v>-3.9999999999999147E-2</v>
      </c>
      <c r="R223" s="55"/>
      <c r="S223" s="55" t="str">
        <f t="shared" si="9"/>
        <v/>
      </c>
      <c r="T223" s="12"/>
      <c r="U223" s="12"/>
      <c r="V223" s="12"/>
      <c r="W223" s="12"/>
      <c r="X223" s="53"/>
      <c r="Y223" s="53"/>
      <c r="Z223" s="54"/>
      <c r="AA223" s="54">
        <v>1</v>
      </c>
      <c r="AB223" s="56"/>
      <c r="AC223" s="53"/>
      <c r="AD223" s="59"/>
    </row>
    <row r="224" spans="1:30" s="57" customFormat="1" ht="20.25">
      <c r="A224" s="53">
        <v>206</v>
      </c>
      <c r="B224" s="53">
        <v>3</v>
      </c>
      <c r="C224" s="53">
        <v>9</v>
      </c>
      <c r="D224" s="53">
        <v>9</v>
      </c>
      <c r="E224" s="58"/>
      <c r="F224" s="58"/>
      <c r="G224" s="53" t="s">
        <v>40</v>
      </c>
      <c r="H224" s="53">
        <v>2</v>
      </c>
      <c r="I224" s="53">
        <v>9048</v>
      </c>
      <c r="J224" s="53">
        <v>5</v>
      </c>
      <c r="K224" s="53" t="s">
        <v>29</v>
      </c>
      <c r="L224" s="53">
        <v>1</v>
      </c>
      <c r="M224" s="53"/>
      <c r="N224" s="53"/>
      <c r="O224" s="55">
        <v>12.54</v>
      </c>
      <c r="P224" s="55">
        <v>12.5</v>
      </c>
      <c r="Q224" s="55">
        <f t="shared" si="10"/>
        <v>-3.9999999999999147E-2</v>
      </c>
      <c r="R224" s="55"/>
      <c r="S224" s="55" t="str">
        <f t="shared" si="9"/>
        <v/>
      </c>
      <c r="T224" s="12"/>
      <c r="U224" s="12"/>
      <c r="V224" s="12"/>
      <c r="W224" s="12"/>
      <c r="X224" s="53"/>
      <c r="Y224" s="53"/>
      <c r="Z224" s="54"/>
      <c r="AA224" s="54">
        <v>1</v>
      </c>
      <c r="AB224" s="56"/>
      <c r="AC224" s="53"/>
      <c r="AD224" s="59"/>
    </row>
    <row r="225" spans="1:30" s="57" customFormat="1" ht="20.25">
      <c r="A225" s="53">
        <v>207</v>
      </c>
      <c r="B225" s="53">
        <v>3</v>
      </c>
      <c r="C225" s="53">
        <v>9</v>
      </c>
      <c r="D225" s="53">
        <v>9</v>
      </c>
      <c r="E225" s="58"/>
      <c r="F225" s="58"/>
      <c r="G225" s="53" t="s">
        <v>40</v>
      </c>
      <c r="H225" s="53">
        <v>1</v>
      </c>
      <c r="I225" s="53">
        <v>9048</v>
      </c>
      <c r="J225" s="53">
        <v>5</v>
      </c>
      <c r="K225" s="53" t="s">
        <v>31</v>
      </c>
      <c r="L225" s="53">
        <v>1</v>
      </c>
      <c r="M225" s="53"/>
      <c r="N225" s="53"/>
      <c r="O225" s="55">
        <v>12.46</v>
      </c>
      <c r="P225" s="55">
        <v>12.42</v>
      </c>
      <c r="Q225" s="55">
        <f t="shared" si="10"/>
        <v>-4.0000000000000924E-2</v>
      </c>
      <c r="R225" s="55"/>
      <c r="S225" s="55" t="str">
        <f t="shared" si="9"/>
        <v/>
      </c>
      <c r="T225" s="12"/>
      <c r="U225" s="12"/>
      <c r="V225" s="12"/>
      <c r="W225" s="12"/>
      <c r="X225" s="53"/>
      <c r="Y225" s="53"/>
      <c r="Z225" s="54"/>
      <c r="AA225" s="54">
        <v>1</v>
      </c>
      <c r="AB225" s="56"/>
      <c r="AC225" s="53"/>
      <c r="AD225" s="59"/>
    </row>
    <row r="226" spans="1:30" s="57" customFormat="1" ht="20.25">
      <c r="A226" s="53">
        <v>208</v>
      </c>
      <c r="B226" s="53">
        <v>3</v>
      </c>
      <c r="C226" s="53">
        <v>9</v>
      </c>
      <c r="D226" s="53">
        <v>9</v>
      </c>
      <c r="E226" s="58"/>
      <c r="F226" s="58"/>
      <c r="G226" s="53" t="s">
        <v>40</v>
      </c>
      <c r="H226" s="53">
        <v>1</v>
      </c>
      <c r="I226" s="53">
        <v>9048</v>
      </c>
      <c r="J226" s="53">
        <v>5</v>
      </c>
      <c r="K226" s="53" t="s">
        <v>29</v>
      </c>
      <c r="L226" s="53">
        <v>1</v>
      </c>
      <c r="M226" s="53"/>
      <c r="N226" s="53"/>
      <c r="O226" s="55">
        <v>12.54</v>
      </c>
      <c r="P226" s="55">
        <v>12.5</v>
      </c>
      <c r="Q226" s="55">
        <f t="shared" si="10"/>
        <v>-3.9999999999999147E-2</v>
      </c>
      <c r="R226" s="55"/>
      <c r="S226" s="55" t="str">
        <f t="shared" si="9"/>
        <v/>
      </c>
      <c r="T226" s="12"/>
      <c r="U226" s="12"/>
      <c r="V226" s="12"/>
      <c r="W226" s="12"/>
      <c r="X226" s="53"/>
      <c r="Y226" s="53"/>
      <c r="Z226" s="54"/>
      <c r="AA226" s="54">
        <v>1</v>
      </c>
      <c r="AB226" s="56"/>
      <c r="AC226" s="53"/>
      <c r="AD226" s="59"/>
    </row>
    <row r="227" spans="1:30" s="57" customFormat="1" ht="20.25">
      <c r="A227" s="53">
        <v>209</v>
      </c>
      <c r="B227" s="53">
        <v>3</v>
      </c>
      <c r="C227" s="53">
        <v>9</v>
      </c>
      <c r="D227" s="53">
        <v>9</v>
      </c>
      <c r="E227" s="58"/>
      <c r="F227" s="58"/>
      <c r="G227" s="53" t="s">
        <v>40</v>
      </c>
      <c r="H227" s="53">
        <v>2</v>
      </c>
      <c r="I227" s="53">
        <v>9048</v>
      </c>
      <c r="J227" s="53">
        <v>6</v>
      </c>
      <c r="K227" s="53" t="s">
        <v>29</v>
      </c>
      <c r="L227" s="53">
        <v>1</v>
      </c>
      <c r="M227" s="53">
        <v>1</v>
      </c>
      <c r="N227" s="53"/>
      <c r="O227" s="55">
        <v>9.33</v>
      </c>
      <c r="P227" s="55">
        <v>9.2899999999999991</v>
      </c>
      <c r="Q227" s="55">
        <f t="shared" si="10"/>
        <v>-4.0000000000000924E-2</v>
      </c>
      <c r="R227" s="55"/>
      <c r="S227" s="55" t="str">
        <f t="shared" si="9"/>
        <v/>
      </c>
      <c r="T227" s="12"/>
      <c r="U227" s="12"/>
      <c r="V227" s="12"/>
      <c r="W227" s="12"/>
      <c r="X227" s="53"/>
      <c r="Y227" s="53"/>
      <c r="Z227" s="54"/>
      <c r="AA227" s="54">
        <v>1</v>
      </c>
      <c r="AB227" s="56"/>
      <c r="AC227" s="53"/>
      <c r="AD227" s="59"/>
    </row>
    <row r="228" spans="1:30" s="57" customFormat="1" ht="20.25">
      <c r="A228" s="53">
        <v>210</v>
      </c>
      <c r="B228" s="53">
        <v>3</v>
      </c>
      <c r="C228" s="53">
        <v>9</v>
      </c>
      <c r="D228" s="53">
        <v>9</v>
      </c>
      <c r="E228" s="58"/>
      <c r="F228" s="58"/>
      <c r="G228" s="53" t="s">
        <v>40</v>
      </c>
      <c r="H228" s="53">
        <v>2</v>
      </c>
      <c r="I228" s="53">
        <v>9048</v>
      </c>
      <c r="J228" s="53">
        <v>6</v>
      </c>
      <c r="K228" s="53" t="s">
        <v>31</v>
      </c>
      <c r="L228" s="53">
        <v>1</v>
      </c>
      <c r="M228" s="53">
        <v>1</v>
      </c>
      <c r="N228" s="53"/>
      <c r="O228" s="55">
        <v>12.56</v>
      </c>
      <c r="P228" s="55">
        <v>12.53</v>
      </c>
      <c r="Q228" s="55">
        <f t="shared" si="10"/>
        <v>-3.0000000000001137E-2</v>
      </c>
      <c r="R228" s="55"/>
      <c r="S228" s="55" t="str">
        <f t="shared" si="9"/>
        <v/>
      </c>
      <c r="T228" s="12"/>
      <c r="U228" s="12"/>
      <c r="V228" s="12"/>
      <c r="W228" s="12"/>
      <c r="X228" s="53"/>
      <c r="Y228" s="53"/>
      <c r="Z228" s="54" t="s">
        <v>30</v>
      </c>
      <c r="AA228" s="54">
        <v>1</v>
      </c>
      <c r="AB228" s="56"/>
      <c r="AC228" s="53"/>
      <c r="AD228" s="59"/>
    </row>
    <row r="229" spans="1:30" s="57" customFormat="1" ht="20.25">
      <c r="A229" s="53">
        <v>211</v>
      </c>
      <c r="B229" s="53">
        <v>3</v>
      </c>
      <c r="C229" s="53">
        <v>9</v>
      </c>
      <c r="D229" s="53">
        <v>9</v>
      </c>
      <c r="E229" s="58"/>
      <c r="F229" s="58"/>
      <c r="G229" s="53" t="s">
        <v>40</v>
      </c>
      <c r="H229" s="53">
        <v>2</v>
      </c>
      <c r="I229" s="53">
        <v>9049</v>
      </c>
      <c r="J229" s="53">
        <v>2</v>
      </c>
      <c r="K229" s="53" t="s">
        <v>31</v>
      </c>
      <c r="L229" s="53">
        <v>1</v>
      </c>
      <c r="M229" s="53"/>
      <c r="N229" s="53"/>
      <c r="O229" s="55">
        <v>9.1300000000000008</v>
      </c>
      <c r="P229" s="55">
        <v>9.09</v>
      </c>
      <c r="Q229" s="55">
        <f t="shared" si="10"/>
        <v>-4.0000000000000924E-2</v>
      </c>
      <c r="R229" s="55"/>
      <c r="S229" s="55" t="str">
        <f t="shared" si="9"/>
        <v/>
      </c>
      <c r="T229" s="12"/>
      <c r="U229" s="12"/>
      <c r="V229" s="12"/>
      <c r="W229" s="12"/>
      <c r="X229" s="53"/>
      <c r="Y229" s="53"/>
      <c r="Z229" s="54"/>
      <c r="AA229" s="54">
        <v>1</v>
      </c>
      <c r="AB229" s="56"/>
      <c r="AC229" s="53"/>
      <c r="AD229" s="59"/>
    </row>
    <row r="230" spans="1:30" s="57" customFormat="1" ht="20.25">
      <c r="A230" s="53">
        <v>212</v>
      </c>
      <c r="B230" s="53">
        <v>3</v>
      </c>
      <c r="C230" s="53">
        <v>9</v>
      </c>
      <c r="D230" s="53">
        <v>9</v>
      </c>
      <c r="E230" s="58"/>
      <c r="F230" s="58"/>
      <c r="G230" s="53" t="s">
        <v>40</v>
      </c>
      <c r="H230" s="53">
        <v>2</v>
      </c>
      <c r="I230" s="53">
        <v>9049</v>
      </c>
      <c r="J230" s="53">
        <v>2</v>
      </c>
      <c r="K230" s="53" t="s">
        <v>29</v>
      </c>
      <c r="L230" s="53">
        <v>1</v>
      </c>
      <c r="M230" s="53"/>
      <c r="N230" s="53"/>
      <c r="O230" s="55">
        <v>9.09</v>
      </c>
      <c r="P230" s="55">
        <v>9.07</v>
      </c>
      <c r="Q230" s="55">
        <f t="shared" si="10"/>
        <v>-1.9999999999999574E-2</v>
      </c>
      <c r="R230" s="55"/>
      <c r="S230" s="55" t="str">
        <f t="shared" si="9"/>
        <v/>
      </c>
      <c r="T230" s="12"/>
      <c r="U230" s="12"/>
      <c r="V230" s="12"/>
      <c r="W230" s="12"/>
      <c r="X230" s="53"/>
      <c r="Y230" s="53"/>
      <c r="Z230" s="54"/>
      <c r="AA230" s="54">
        <v>1</v>
      </c>
      <c r="AB230" s="56"/>
      <c r="AC230" s="53"/>
      <c r="AD230" s="59"/>
    </row>
    <row r="231" spans="1:30" s="57" customFormat="1" ht="20.25">
      <c r="A231" s="53">
        <v>213</v>
      </c>
      <c r="B231" s="53">
        <v>3</v>
      </c>
      <c r="C231" s="53">
        <v>9</v>
      </c>
      <c r="D231" s="53">
        <v>9</v>
      </c>
      <c r="E231" s="58"/>
      <c r="F231" s="58"/>
      <c r="G231" s="53" t="s">
        <v>40</v>
      </c>
      <c r="H231" s="53">
        <v>1</v>
      </c>
      <c r="I231" s="53">
        <v>9049</v>
      </c>
      <c r="J231" s="53">
        <v>3</v>
      </c>
      <c r="K231" s="53" t="s">
        <v>29</v>
      </c>
      <c r="L231" s="53">
        <v>1</v>
      </c>
      <c r="M231" s="53"/>
      <c r="N231" s="53"/>
      <c r="O231" s="55">
        <v>12.5</v>
      </c>
      <c r="P231" s="55">
        <v>12.46</v>
      </c>
      <c r="Q231" s="55">
        <f t="shared" si="10"/>
        <v>-3.9999999999999147E-2</v>
      </c>
      <c r="R231" s="55"/>
      <c r="S231" s="55" t="str">
        <f t="shared" si="9"/>
        <v/>
      </c>
      <c r="T231" s="12"/>
      <c r="U231" s="12"/>
      <c r="V231" s="12"/>
      <c r="W231" s="12"/>
      <c r="X231" s="53"/>
      <c r="Y231" s="53"/>
      <c r="Z231" s="54"/>
      <c r="AA231" s="54">
        <v>1</v>
      </c>
      <c r="AB231" s="56"/>
      <c r="AC231" s="53"/>
      <c r="AD231" s="59"/>
    </row>
    <row r="232" spans="1:30" s="57" customFormat="1" ht="20.25">
      <c r="A232" s="53">
        <v>214</v>
      </c>
      <c r="B232" s="53">
        <v>3</v>
      </c>
      <c r="C232" s="53">
        <v>9</v>
      </c>
      <c r="D232" s="53">
        <v>9</v>
      </c>
      <c r="E232" s="58"/>
      <c r="F232" s="58"/>
      <c r="G232" s="53" t="s">
        <v>40</v>
      </c>
      <c r="H232" s="53">
        <v>2</v>
      </c>
      <c r="I232" s="53">
        <v>9049</v>
      </c>
      <c r="J232" s="53">
        <v>3</v>
      </c>
      <c r="K232" s="53" t="s">
        <v>29</v>
      </c>
      <c r="L232" s="53">
        <v>1</v>
      </c>
      <c r="M232" s="53"/>
      <c r="N232" s="53"/>
      <c r="O232" s="55">
        <v>12.58</v>
      </c>
      <c r="P232" s="55">
        <v>12.54</v>
      </c>
      <c r="Q232" s="55">
        <f t="shared" si="10"/>
        <v>-4.0000000000000924E-2</v>
      </c>
      <c r="R232" s="55"/>
      <c r="S232" s="55" t="str">
        <f t="shared" si="9"/>
        <v/>
      </c>
      <c r="T232" s="12"/>
      <c r="U232" s="12"/>
      <c r="V232" s="12"/>
      <c r="W232" s="12"/>
      <c r="X232" s="53"/>
      <c r="Y232" s="53"/>
      <c r="Z232" s="54"/>
      <c r="AA232" s="54">
        <v>1</v>
      </c>
      <c r="AB232" s="56"/>
      <c r="AC232" s="53"/>
      <c r="AD232" s="59"/>
    </row>
    <row r="233" spans="1:30" s="57" customFormat="1" ht="20.25">
      <c r="A233" s="53">
        <v>215</v>
      </c>
      <c r="B233" s="53">
        <v>3</v>
      </c>
      <c r="C233" s="53">
        <v>9</v>
      </c>
      <c r="D233" s="53">
        <v>9</v>
      </c>
      <c r="E233" s="58"/>
      <c r="F233" s="58"/>
      <c r="G233" s="53" t="s">
        <v>40</v>
      </c>
      <c r="H233" s="53">
        <v>2</v>
      </c>
      <c r="I233" s="53">
        <v>9049</v>
      </c>
      <c r="J233" s="53">
        <v>8</v>
      </c>
      <c r="K233" s="53" t="s">
        <v>29</v>
      </c>
      <c r="L233" s="53">
        <v>1</v>
      </c>
      <c r="M233" s="53"/>
      <c r="N233" s="53"/>
      <c r="O233" s="55">
        <v>8.5399999999999991</v>
      </c>
      <c r="P233" s="55">
        <v>8.5</v>
      </c>
      <c r="Q233" s="55">
        <f t="shared" si="10"/>
        <v>-3.9999999999999147E-2</v>
      </c>
      <c r="R233" s="55"/>
      <c r="S233" s="55" t="str">
        <f t="shared" si="9"/>
        <v/>
      </c>
      <c r="T233" s="12"/>
      <c r="U233" s="12"/>
      <c r="V233" s="12"/>
      <c r="W233" s="12"/>
      <c r="X233" s="53"/>
      <c r="Y233" s="53"/>
      <c r="Z233" s="54">
        <v>1</v>
      </c>
      <c r="AA233" s="54"/>
      <c r="AB233" s="56"/>
      <c r="AC233" s="53"/>
      <c r="AD233" s="59"/>
    </row>
    <row r="234" spans="1:30" s="57" customFormat="1" ht="20.25">
      <c r="A234" s="53">
        <v>216</v>
      </c>
      <c r="B234" s="53">
        <v>3</v>
      </c>
      <c r="C234" s="53">
        <v>9</v>
      </c>
      <c r="D234" s="53">
        <v>9</v>
      </c>
      <c r="E234" s="58"/>
      <c r="F234" s="58"/>
      <c r="G234" s="53" t="s">
        <v>40</v>
      </c>
      <c r="H234" s="53">
        <v>1</v>
      </c>
      <c r="I234" s="53">
        <v>9050</v>
      </c>
      <c r="J234" s="53">
        <v>2</v>
      </c>
      <c r="K234" s="53" t="s">
        <v>29</v>
      </c>
      <c r="L234" s="53">
        <v>1</v>
      </c>
      <c r="M234" s="53"/>
      <c r="N234" s="53"/>
      <c r="O234" s="55">
        <v>12.54</v>
      </c>
      <c r="P234" s="55">
        <v>12.5</v>
      </c>
      <c r="Q234" s="55">
        <f t="shared" si="10"/>
        <v>-3.9999999999999147E-2</v>
      </c>
      <c r="R234" s="55"/>
      <c r="S234" s="55" t="str">
        <f t="shared" si="9"/>
        <v/>
      </c>
      <c r="T234" s="12"/>
      <c r="U234" s="12"/>
      <c r="V234" s="12"/>
      <c r="W234" s="12"/>
      <c r="X234" s="53"/>
      <c r="Y234" s="53"/>
      <c r="Z234" s="54" t="s">
        <v>30</v>
      </c>
      <c r="AA234" s="54">
        <v>1</v>
      </c>
      <c r="AB234" s="56"/>
      <c r="AC234" s="53"/>
      <c r="AD234" s="59"/>
    </row>
    <row r="235" spans="1:30" s="57" customFormat="1" ht="20.25">
      <c r="A235" s="53">
        <v>217</v>
      </c>
      <c r="B235" s="53">
        <v>3</v>
      </c>
      <c r="C235" s="53">
        <v>9</v>
      </c>
      <c r="D235" s="53">
        <v>9</v>
      </c>
      <c r="E235" s="58"/>
      <c r="F235" s="58"/>
      <c r="G235" s="53" t="s">
        <v>40</v>
      </c>
      <c r="H235" s="53">
        <v>1</v>
      </c>
      <c r="I235" s="53">
        <v>9050</v>
      </c>
      <c r="J235" s="53">
        <v>2</v>
      </c>
      <c r="K235" s="53" t="s">
        <v>31</v>
      </c>
      <c r="L235" s="53">
        <v>1</v>
      </c>
      <c r="M235" s="53"/>
      <c r="N235" s="53"/>
      <c r="O235" s="55">
        <v>12.54</v>
      </c>
      <c r="P235" s="55">
        <v>12.5</v>
      </c>
      <c r="Q235" s="55">
        <f t="shared" si="10"/>
        <v>-3.9999999999999147E-2</v>
      </c>
      <c r="R235" s="55"/>
      <c r="S235" s="55" t="str">
        <f t="shared" si="9"/>
        <v/>
      </c>
      <c r="T235" s="12"/>
      <c r="U235" s="12"/>
      <c r="V235" s="12"/>
      <c r="W235" s="12"/>
      <c r="X235" s="53"/>
      <c r="Y235" s="53"/>
      <c r="Z235" s="54" t="s">
        <v>30</v>
      </c>
      <c r="AA235" s="54">
        <v>1</v>
      </c>
      <c r="AB235" s="56"/>
      <c r="AC235" s="53"/>
      <c r="AD235" s="59"/>
    </row>
    <row r="236" spans="1:30" s="57" customFormat="1" ht="20.25">
      <c r="A236" s="53">
        <v>218</v>
      </c>
      <c r="B236" s="53">
        <v>3</v>
      </c>
      <c r="C236" s="53">
        <v>9</v>
      </c>
      <c r="D236" s="53">
        <v>10</v>
      </c>
      <c r="E236" s="58"/>
      <c r="F236" s="58"/>
      <c r="G236" s="53" t="s">
        <v>40</v>
      </c>
      <c r="H236" s="53">
        <v>2</v>
      </c>
      <c r="I236" s="53">
        <v>9050</v>
      </c>
      <c r="J236" s="53">
        <v>3</v>
      </c>
      <c r="K236" s="53" t="s">
        <v>31</v>
      </c>
      <c r="L236" s="53">
        <v>1</v>
      </c>
      <c r="M236" s="53"/>
      <c r="N236" s="53"/>
      <c r="O236" s="55">
        <v>12.54</v>
      </c>
      <c r="P236" s="55">
        <v>12.5</v>
      </c>
      <c r="Q236" s="55">
        <f t="shared" ref="Q236:Q289" si="11">P236-O236</f>
        <v>-3.9999999999999147E-2</v>
      </c>
      <c r="R236" s="55"/>
      <c r="S236" s="55" t="str">
        <f t="shared" si="9"/>
        <v/>
      </c>
      <c r="T236" s="12"/>
      <c r="U236" s="12"/>
      <c r="V236" s="12"/>
      <c r="W236" s="12"/>
      <c r="X236" s="53"/>
      <c r="Y236" s="53"/>
      <c r="Z236" s="54" t="s">
        <v>30</v>
      </c>
      <c r="AA236" s="54">
        <v>1</v>
      </c>
      <c r="AB236" s="56"/>
      <c r="AC236" s="53"/>
      <c r="AD236" s="59"/>
    </row>
    <row r="237" spans="1:30" s="57" customFormat="1" ht="20.25">
      <c r="A237" s="53">
        <v>219</v>
      </c>
      <c r="B237" s="53">
        <v>3</v>
      </c>
      <c r="C237" s="53">
        <v>9</v>
      </c>
      <c r="D237" s="53">
        <v>10</v>
      </c>
      <c r="E237" s="58"/>
      <c r="F237" s="58"/>
      <c r="G237" s="53" t="s">
        <v>40</v>
      </c>
      <c r="H237" s="53">
        <v>2</v>
      </c>
      <c r="I237" s="53">
        <v>9050</v>
      </c>
      <c r="J237" s="53">
        <v>3</v>
      </c>
      <c r="K237" s="53" t="s">
        <v>29</v>
      </c>
      <c r="L237" s="53">
        <v>1</v>
      </c>
      <c r="M237" s="53"/>
      <c r="N237" s="53"/>
      <c r="O237" s="55">
        <v>12.54</v>
      </c>
      <c r="P237" s="55">
        <v>12.5</v>
      </c>
      <c r="Q237" s="55">
        <f t="shared" si="11"/>
        <v>-3.9999999999999147E-2</v>
      </c>
      <c r="R237" s="55"/>
      <c r="S237" s="55" t="str">
        <f t="shared" si="9"/>
        <v/>
      </c>
      <c r="T237" s="12"/>
      <c r="U237" s="12"/>
      <c r="V237" s="12"/>
      <c r="W237" s="12"/>
      <c r="X237" s="53"/>
      <c r="Y237" s="53"/>
      <c r="Z237" s="54" t="s">
        <v>30</v>
      </c>
      <c r="AA237" s="54">
        <v>1</v>
      </c>
      <c r="AB237" s="56"/>
      <c r="AC237" s="53"/>
      <c r="AD237" s="59"/>
    </row>
    <row r="238" spans="1:30" s="57" customFormat="1" ht="37.5">
      <c r="A238" s="53">
        <v>220</v>
      </c>
      <c r="B238" s="53">
        <v>3</v>
      </c>
      <c r="C238" s="53">
        <v>9</v>
      </c>
      <c r="D238" s="53">
        <v>10</v>
      </c>
      <c r="E238" s="58"/>
      <c r="F238" s="58"/>
      <c r="G238" s="53" t="s">
        <v>41</v>
      </c>
      <c r="H238" s="53">
        <v>1</v>
      </c>
      <c r="I238" s="53">
        <v>9050</v>
      </c>
      <c r="J238" s="53">
        <v>9</v>
      </c>
      <c r="K238" s="53" t="s">
        <v>29</v>
      </c>
      <c r="L238" s="53">
        <v>1</v>
      </c>
      <c r="M238" s="53"/>
      <c r="N238" s="53"/>
      <c r="O238" s="55">
        <v>9.8800000000000008</v>
      </c>
      <c r="P238" s="55">
        <v>9.85</v>
      </c>
      <c r="Q238" s="55">
        <f t="shared" si="11"/>
        <v>-3.0000000000001137E-2</v>
      </c>
      <c r="R238" s="55"/>
      <c r="S238" s="55" t="str">
        <f t="shared" si="9"/>
        <v/>
      </c>
      <c r="T238" s="12"/>
      <c r="U238" s="12"/>
      <c r="V238" s="12"/>
      <c r="W238" s="12"/>
      <c r="X238" s="53"/>
      <c r="Y238" s="53"/>
      <c r="Z238" s="54">
        <v>1</v>
      </c>
      <c r="AA238" s="54"/>
      <c r="AB238" s="56"/>
      <c r="AC238" s="53"/>
      <c r="AD238" s="59"/>
    </row>
    <row r="239" spans="1:30" s="57" customFormat="1" ht="37.5">
      <c r="A239" s="53">
        <v>221</v>
      </c>
      <c r="B239" s="53">
        <v>3</v>
      </c>
      <c r="C239" s="53">
        <v>9</v>
      </c>
      <c r="D239" s="53">
        <v>10</v>
      </c>
      <c r="E239" s="58"/>
      <c r="F239" s="58"/>
      <c r="G239" s="53" t="s">
        <v>41</v>
      </c>
      <c r="H239" s="53">
        <v>1</v>
      </c>
      <c r="I239" s="53">
        <v>9054</v>
      </c>
      <c r="J239" s="53">
        <v>7</v>
      </c>
      <c r="K239" s="53" t="s">
        <v>31</v>
      </c>
      <c r="L239" s="53">
        <v>1</v>
      </c>
      <c r="M239" s="53"/>
      <c r="N239" s="53"/>
      <c r="O239" s="55">
        <v>8.39</v>
      </c>
      <c r="P239" s="55">
        <v>8.36</v>
      </c>
      <c r="Q239" s="55">
        <f t="shared" si="11"/>
        <v>-3.0000000000001137E-2</v>
      </c>
      <c r="R239" s="55"/>
      <c r="S239" s="55" t="str">
        <f t="shared" si="9"/>
        <v/>
      </c>
      <c r="T239" s="12"/>
      <c r="U239" s="12"/>
      <c r="V239" s="12"/>
      <c r="W239" s="12"/>
      <c r="X239" s="53"/>
      <c r="Y239" s="53"/>
      <c r="Z239" s="54">
        <v>1</v>
      </c>
      <c r="AA239" s="54"/>
      <c r="AB239" s="56"/>
      <c r="AC239" s="53"/>
      <c r="AD239" s="59"/>
    </row>
    <row r="240" spans="1:30" s="57" customFormat="1" ht="18.75" customHeight="1">
      <c r="A240" s="53">
        <v>222</v>
      </c>
      <c r="B240" s="53">
        <v>3</v>
      </c>
      <c r="C240" s="53">
        <v>9</v>
      </c>
      <c r="D240" s="53">
        <v>10</v>
      </c>
      <c r="E240" s="58"/>
      <c r="F240" s="58"/>
      <c r="G240" s="53" t="s">
        <v>42</v>
      </c>
      <c r="H240" s="53">
        <v>2</v>
      </c>
      <c r="I240" s="53">
        <v>9055</v>
      </c>
      <c r="J240" s="53">
        <v>9</v>
      </c>
      <c r="K240" s="53" t="s">
        <v>29</v>
      </c>
      <c r="L240" s="53">
        <v>1</v>
      </c>
      <c r="M240" s="53"/>
      <c r="N240" s="53"/>
      <c r="O240" s="55">
        <v>12.54</v>
      </c>
      <c r="P240" s="55">
        <v>12.5</v>
      </c>
      <c r="Q240" s="55">
        <f t="shared" si="11"/>
        <v>-3.9999999999999147E-2</v>
      </c>
      <c r="R240" s="55"/>
      <c r="S240" s="55" t="str">
        <f t="shared" si="9"/>
        <v/>
      </c>
      <c r="T240" s="12"/>
      <c r="U240" s="12"/>
      <c r="V240" s="12"/>
      <c r="W240" s="12"/>
      <c r="X240" s="53"/>
      <c r="Y240" s="53"/>
      <c r="Z240" s="54" t="s">
        <v>30</v>
      </c>
      <c r="AA240" s="54">
        <v>1</v>
      </c>
      <c r="AB240" s="56"/>
      <c r="AC240" s="53"/>
      <c r="AD240" s="59"/>
    </row>
    <row r="241" spans="1:30" s="57" customFormat="1" ht="18.75" customHeight="1">
      <c r="A241" s="53">
        <v>223</v>
      </c>
      <c r="B241" s="53">
        <v>3</v>
      </c>
      <c r="C241" s="53">
        <v>9</v>
      </c>
      <c r="D241" s="53">
        <v>10</v>
      </c>
      <c r="E241" s="58"/>
      <c r="F241" s="58"/>
      <c r="G241" s="53" t="s">
        <v>42</v>
      </c>
      <c r="H241" s="53">
        <v>2</v>
      </c>
      <c r="I241" s="53">
        <v>9055</v>
      </c>
      <c r="J241" s="53">
        <v>9</v>
      </c>
      <c r="K241" s="53" t="s">
        <v>31</v>
      </c>
      <c r="L241" s="53">
        <v>1</v>
      </c>
      <c r="M241" s="53"/>
      <c r="N241" s="53"/>
      <c r="O241" s="55">
        <v>12.54</v>
      </c>
      <c r="P241" s="55">
        <v>12.5</v>
      </c>
      <c r="Q241" s="55">
        <f t="shared" si="11"/>
        <v>-3.9999999999999147E-2</v>
      </c>
      <c r="R241" s="55"/>
      <c r="S241" s="55" t="str">
        <f t="shared" si="9"/>
        <v/>
      </c>
      <c r="T241" s="12"/>
      <c r="U241" s="12"/>
      <c r="V241" s="12"/>
      <c r="W241" s="12"/>
      <c r="X241" s="53"/>
      <c r="Y241" s="53"/>
      <c r="Z241" s="54"/>
      <c r="AA241" s="54">
        <v>1</v>
      </c>
      <c r="AB241" s="56"/>
      <c r="AC241" s="53"/>
      <c r="AD241" s="59"/>
    </row>
    <row r="242" spans="1:30" s="57" customFormat="1" ht="18.75" customHeight="1">
      <c r="A242" s="53">
        <v>224</v>
      </c>
      <c r="B242" s="53">
        <v>3</v>
      </c>
      <c r="C242" s="53">
        <v>9</v>
      </c>
      <c r="D242" s="53">
        <v>10</v>
      </c>
      <c r="E242" s="58"/>
      <c r="F242" s="58"/>
      <c r="G242" s="53" t="s">
        <v>42</v>
      </c>
      <c r="H242" s="53">
        <v>2</v>
      </c>
      <c r="I242" s="53">
        <v>9055</v>
      </c>
      <c r="J242" s="53">
        <v>10</v>
      </c>
      <c r="K242" s="53" t="s">
        <v>31</v>
      </c>
      <c r="L242" s="53">
        <v>1</v>
      </c>
      <c r="M242" s="53"/>
      <c r="N242" s="53"/>
      <c r="O242" s="55">
        <v>13.84</v>
      </c>
      <c r="P242" s="55">
        <v>13.8</v>
      </c>
      <c r="Q242" s="55">
        <f t="shared" si="11"/>
        <v>-3.9999999999999147E-2</v>
      </c>
      <c r="R242" s="55"/>
      <c r="S242" s="55" t="str">
        <f t="shared" si="9"/>
        <v/>
      </c>
      <c r="T242" s="12"/>
      <c r="U242" s="12"/>
      <c r="V242" s="12"/>
      <c r="W242" s="12"/>
      <c r="X242" s="53"/>
      <c r="Y242" s="53"/>
      <c r="Z242" s="54"/>
      <c r="AA242" s="54">
        <v>1</v>
      </c>
      <c r="AB242" s="56"/>
      <c r="AC242" s="53"/>
      <c r="AD242" s="59"/>
    </row>
    <row r="243" spans="1:30" s="57" customFormat="1" ht="18.75" customHeight="1">
      <c r="A243" s="53">
        <v>225</v>
      </c>
      <c r="B243" s="53">
        <v>3</v>
      </c>
      <c r="C243" s="53">
        <v>9</v>
      </c>
      <c r="D243" s="53">
        <v>10</v>
      </c>
      <c r="E243" s="58"/>
      <c r="F243" s="58"/>
      <c r="G243" s="53" t="s">
        <v>42</v>
      </c>
      <c r="H243" s="53">
        <v>2</v>
      </c>
      <c r="I243" s="53">
        <v>9055</v>
      </c>
      <c r="J243" s="53">
        <v>10</v>
      </c>
      <c r="K243" s="53" t="s">
        <v>29</v>
      </c>
      <c r="L243" s="53">
        <v>1</v>
      </c>
      <c r="M243" s="53"/>
      <c r="N243" s="53"/>
      <c r="O243" s="55">
        <v>13.84</v>
      </c>
      <c r="P243" s="55">
        <v>13.8</v>
      </c>
      <c r="Q243" s="55">
        <f t="shared" si="11"/>
        <v>-3.9999999999999147E-2</v>
      </c>
      <c r="R243" s="55"/>
      <c r="S243" s="55" t="str">
        <f t="shared" si="9"/>
        <v/>
      </c>
      <c r="T243" s="12"/>
      <c r="U243" s="12"/>
      <c r="V243" s="12"/>
      <c r="W243" s="12"/>
      <c r="X243" s="53"/>
      <c r="Y243" s="53"/>
      <c r="Z243" s="54"/>
      <c r="AA243" s="54">
        <v>1</v>
      </c>
      <c r="AB243" s="56"/>
      <c r="AC243" s="53"/>
      <c r="AD243" s="59"/>
    </row>
    <row r="244" spans="1:30" s="57" customFormat="1" ht="18.75" customHeight="1">
      <c r="A244" s="53">
        <v>226</v>
      </c>
      <c r="B244" s="53">
        <v>3</v>
      </c>
      <c r="C244" s="53">
        <v>9</v>
      </c>
      <c r="D244" s="53">
        <v>10</v>
      </c>
      <c r="E244" s="58"/>
      <c r="F244" s="58"/>
      <c r="G244" s="53" t="s">
        <v>42</v>
      </c>
      <c r="H244" s="53">
        <v>2</v>
      </c>
      <c r="I244" s="53">
        <v>9057</v>
      </c>
      <c r="J244" s="53">
        <v>3</v>
      </c>
      <c r="K244" s="53" t="s">
        <v>31</v>
      </c>
      <c r="L244" s="53">
        <v>1</v>
      </c>
      <c r="M244" s="53"/>
      <c r="N244" s="53"/>
      <c r="O244" s="55">
        <v>12.52</v>
      </c>
      <c r="P244" s="55">
        <v>12.5</v>
      </c>
      <c r="Q244" s="55">
        <f t="shared" si="11"/>
        <v>-1.9999999999999574E-2</v>
      </c>
      <c r="R244" s="55"/>
      <c r="S244" s="55" t="str">
        <f t="shared" si="9"/>
        <v/>
      </c>
      <c r="T244" s="12"/>
      <c r="U244" s="12"/>
      <c r="V244" s="12"/>
      <c r="W244" s="12"/>
      <c r="X244" s="53"/>
      <c r="Y244" s="53"/>
      <c r="Z244" s="54"/>
      <c r="AA244" s="54">
        <v>1</v>
      </c>
      <c r="AB244" s="56"/>
      <c r="AC244" s="53"/>
      <c r="AD244" s="59"/>
    </row>
    <row r="245" spans="1:30" s="57" customFormat="1" ht="20.25">
      <c r="A245" s="53">
        <v>227</v>
      </c>
      <c r="B245" s="53">
        <v>3</v>
      </c>
      <c r="C245" s="53">
        <v>9</v>
      </c>
      <c r="D245" s="53">
        <v>10</v>
      </c>
      <c r="E245" s="58"/>
      <c r="F245" s="58"/>
      <c r="G245" s="53" t="s">
        <v>42</v>
      </c>
      <c r="H245" s="53">
        <v>2</v>
      </c>
      <c r="I245" s="53">
        <v>9057</v>
      </c>
      <c r="J245" s="53">
        <v>4</v>
      </c>
      <c r="K245" s="53" t="s">
        <v>29</v>
      </c>
      <c r="L245" s="53">
        <v>1</v>
      </c>
      <c r="M245" s="53"/>
      <c r="N245" s="53"/>
      <c r="O245" s="55">
        <v>12.54</v>
      </c>
      <c r="P245" s="55">
        <v>12.52</v>
      </c>
      <c r="Q245" s="55">
        <f t="shared" si="11"/>
        <v>-1.9999999999999574E-2</v>
      </c>
      <c r="R245" s="55"/>
      <c r="S245" s="55" t="str">
        <f t="shared" si="9"/>
        <v/>
      </c>
      <c r="T245" s="12"/>
      <c r="U245" s="12"/>
      <c r="V245" s="12"/>
      <c r="W245" s="12"/>
      <c r="X245" s="53"/>
      <c r="Y245" s="53"/>
      <c r="Z245" s="54"/>
      <c r="AA245" s="54">
        <v>1</v>
      </c>
      <c r="AB245" s="56"/>
      <c r="AC245" s="53"/>
      <c r="AD245" s="59"/>
    </row>
    <row r="246" spans="1:30" s="57" customFormat="1" ht="20.25">
      <c r="A246" s="53">
        <v>228</v>
      </c>
      <c r="B246" s="53">
        <v>3</v>
      </c>
      <c r="C246" s="53">
        <v>9</v>
      </c>
      <c r="D246" s="53">
        <v>10</v>
      </c>
      <c r="E246" s="58"/>
      <c r="F246" s="58"/>
      <c r="G246" s="53" t="s">
        <v>42</v>
      </c>
      <c r="H246" s="53">
        <v>1</v>
      </c>
      <c r="I246" s="53">
        <v>9057</v>
      </c>
      <c r="J246" s="53">
        <v>5</v>
      </c>
      <c r="K246" s="53" t="s">
        <v>29</v>
      </c>
      <c r="L246" s="53">
        <v>1</v>
      </c>
      <c r="M246" s="53"/>
      <c r="N246" s="53"/>
      <c r="O246" s="55">
        <v>12.54</v>
      </c>
      <c r="P246" s="55">
        <v>12.5</v>
      </c>
      <c r="Q246" s="55">
        <f t="shared" si="11"/>
        <v>-3.9999999999999147E-2</v>
      </c>
      <c r="R246" s="55"/>
      <c r="S246" s="55" t="str">
        <f t="shared" si="9"/>
        <v/>
      </c>
      <c r="T246" s="12"/>
      <c r="U246" s="12"/>
      <c r="V246" s="12"/>
      <c r="W246" s="12"/>
      <c r="X246" s="53"/>
      <c r="Y246" s="53"/>
      <c r="Z246" s="54" t="s">
        <v>30</v>
      </c>
      <c r="AA246" s="54">
        <v>1</v>
      </c>
      <c r="AB246" s="56"/>
      <c r="AC246" s="53"/>
      <c r="AD246" s="59"/>
    </row>
    <row r="247" spans="1:30" s="57" customFormat="1" ht="20.25">
      <c r="A247" s="53">
        <v>229</v>
      </c>
      <c r="B247" s="53">
        <v>3</v>
      </c>
      <c r="C247" s="53">
        <v>9</v>
      </c>
      <c r="D247" s="53">
        <v>10</v>
      </c>
      <c r="E247" s="58"/>
      <c r="F247" s="58"/>
      <c r="G247" s="53" t="s">
        <v>42</v>
      </c>
      <c r="H247" s="53">
        <v>1</v>
      </c>
      <c r="I247" s="53">
        <v>9057</v>
      </c>
      <c r="J247" s="53">
        <v>5</v>
      </c>
      <c r="K247" s="53" t="s">
        <v>31</v>
      </c>
      <c r="L247" s="53">
        <v>1</v>
      </c>
      <c r="M247" s="53"/>
      <c r="N247" s="53"/>
      <c r="O247" s="55">
        <v>12.54</v>
      </c>
      <c r="P247" s="55">
        <v>12.5</v>
      </c>
      <c r="Q247" s="55">
        <f t="shared" si="11"/>
        <v>-3.9999999999999147E-2</v>
      </c>
      <c r="R247" s="55"/>
      <c r="S247" s="55" t="str">
        <f t="shared" si="9"/>
        <v/>
      </c>
      <c r="T247" s="12"/>
      <c r="U247" s="12"/>
      <c r="V247" s="12"/>
      <c r="W247" s="12"/>
      <c r="X247" s="53"/>
      <c r="Y247" s="53"/>
      <c r="Z247" s="54" t="s">
        <v>30</v>
      </c>
      <c r="AA247" s="54">
        <v>1</v>
      </c>
      <c r="AB247" s="56"/>
      <c r="AC247" s="53"/>
      <c r="AD247" s="59"/>
    </row>
    <row r="248" spans="1:30" s="57" customFormat="1" ht="20.25">
      <c r="A248" s="53">
        <v>230</v>
      </c>
      <c r="B248" s="53">
        <v>3</v>
      </c>
      <c r="C248" s="53">
        <v>9</v>
      </c>
      <c r="D248" s="53">
        <v>10</v>
      </c>
      <c r="E248" s="58"/>
      <c r="F248" s="58"/>
      <c r="G248" s="53" t="s">
        <v>42</v>
      </c>
      <c r="H248" s="53">
        <v>2</v>
      </c>
      <c r="I248" s="53">
        <v>9057</v>
      </c>
      <c r="J248" s="53">
        <v>5</v>
      </c>
      <c r="K248" s="53" t="s">
        <v>31</v>
      </c>
      <c r="L248" s="53">
        <v>1</v>
      </c>
      <c r="M248" s="53"/>
      <c r="N248" s="53"/>
      <c r="O248" s="55">
        <v>12.56</v>
      </c>
      <c r="P248" s="55">
        <v>12.54</v>
      </c>
      <c r="Q248" s="55">
        <f t="shared" si="11"/>
        <v>-2.000000000000135E-2</v>
      </c>
      <c r="R248" s="55"/>
      <c r="S248" s="55" t="str">
        <f t="shared" si="9"/>
        <v/>
      </c>
      <c r="T248" s="12"/>
      <c r="U248" s="12"/>
      <c r="V248" s="12"/>
      <c r="W248" s="12"/>
      <c r="X248" s="53"/>
      <c r="Y248" s="53"/>
      <c r="Z248" s="54"/>
      <c r="AA248" s="54">
        <v>1</v>
      </c>
      <c r="AB248" s="56"/>
      <c r="AC248" s="53"/>
      <c r="AD248" s="59"/>
    </row>
    <row r="249" spans="1:30" s="57" customFormat="1" ht="20.25">
      <c r="A249" s="53">
        <v>231</v>
      </c>
      <c r="B249" s="53">
        <v>3</v>
      </c>
      <c r="C249" s="53">
        <v>9</v>
      </c>
      <c r="D249" s="53">
        <v>10</v>
      </c>
      <c r="E249" s="58"/>
      <c r="F249" s="58"/>
      <c r="G249" s="53" t="s">
        <v>42</v>
      </c>
      <c r="H249" s="53">
        <v>2</v>
      </c>
      <c r="I249" s="53">
        <v>9057</v>
      </c>
      <c r="J249" s="53">
        <v>5</v>
      </c>
      <c r="K249" s="53" t="s">
        <v>29</v>
      </c>
      <c r="L249" s="53">
        <v>1</v>
      </c>
      <c r="M249" s="53"/>
      <c r="N249" s="53"/>
      <c r="O249" s="55">
        <v>12.56</v>
      </c>
      <c r="P249" s="55">
        <v>12.54</v>
      </c>
      <c r="Q249" s="55">
        <f t="shared" si="11"/>
        <v>-2.000000000000135E-2</v>
      </c>
      <c r="R249" s="55"/>
      <c r="S249" s="55" t="str">
        <f t="shared" si="9"/>
        <v/>
      </c>
      <c r="T249" s="12"/>
      <c r="U249" s="12"/>
      <c r="V249" s="12"/>
      <c r="W249" s="12"/>
      <c r="X249" s="53"/>
      <c r="Y249" s="53"/>
      <c r="Z249" s="54" t="s">
        <v>30</v>
      </c>
      <c r="AA249" s="54">
        <v>1</v>
      </c>
      <c r="AB249" s="56"/>
      <c r="AC249" s="53"/>
      <c r="AD249" s="59"/>
    </row>
    <row r="250" spans="1:30" s="57" customFormat="1" ht="20.25">
      <c r="A250" s="53">
        <v>232</v>
      </c>
      <c r="B250" s="53">
        <v>3</v>
      </c>
      <c r="C250" s="53">
        <v>9</v>
      </c>
      <c r="D250" s="53">
        <v>10</v>
      </c>
      <c r="E250" s="58"/>
      <c r="F250" s="58"/>
      <c r="G250" s="53" t="s">
        <v>43</v>
      </c>
      <c r="H250" s="53">
        <v>1</v>
      </c>
      <c r="I250" s="53">
        <v>9058</v>
      </c>
      <c r="J250" s="53">
        <v>4</v>
      </c>
      <c r="K250" s="53" t="s">
        <v>29</v>
      </c>
      <c r="L250" s="53">
        <v>1</v>
      </c>
      <c r="M250" s="53"/>
      <c r="N250" s="53"/>
      <c r="O250" s="55">
        <v>9.5299999999999994</v>
      </c>
      <c r="P250" s="55">
        <v>9.5</v>
      </c>
      <c r="Q250" s="55">
        <f t="shared" si="11"/>
        <v>-2.9999999999999361E-2</v>
      </c>
      <c r="R250" s="55"/>
      <c r="S250" s="55" t="str">
        <f t="shared" si="9"/>
        <v/>
      </c>
      <c r="T250" s="12"/>
      <c r="U250" s="12"/>
      <c r="V250" s="12"/>
      <c r="W250" s="12"/>
      <c r="X250" s="53"/>
      <c r="Y250" s="53"/>
      <c r="Z250" s="54">
        <v>1</v>
      </c>
      <c r="AA250" s="54" t="s">
        <v>30</v>
      </c>
      <c r="AB250" s="56"/>
      <c r="AC250" s="53"/>
      <c r="AD250" s="59"/>
    </row>
    <row r="251" spans="1:30" s="57" customFormat="1" ht="20.25">
      <c r="A251" s="53">
        <v>233</v>
      </c>
      <c r="B251" s="53">
        <v>3</v>
      </c>
      <c r="C251" s="53">
        <v>9</v>
      </c>
      <c r="D251" s="53">
        <v>10</v>
      </c>
      <c r="E251" s="58"/>
      <c r="F251" s="58"/>
      <c r="G251" s="53" t="s">
        <v>43</v>
      </c>
      <c r="H251" s="53">
        <v>1</v>
      </c>
      <c r="I251" s="53">
        <v>9058</v>
      </c>
      <c r="J251" s="53">
        <v>6</v>
      </c>
      <c r="K251" s="53" t="s">
        <v>29</v>
      </c>
      <c r="L251" s="53">
        <v>1</v>
      </c>
      <c r="M251" s="53"/>
      <c r="N251" s="53"/>
      <c r="O251" s="55">
        <v>9.5299999999999994</v>
      </c>
      <c r="P251" s="55">
        <v>9.5</v>
      </c>
      <c r="Q251" s="55">
        <f t="shared" si="11"/>
        <v>-2.9999999999999361E-2</v>
      </c>
      <c r="R251" s="55"/>
      <c r="S251" s="55" t="str">
        <f t="shared" si="9"/>
        <v/>
      </c>
      <c r="T251" s="12"/>
      <c r="U251" s="12"/>
      <c r="V251" s="12"/>
      <c r="W251" s="12"/>
      <c r="X251" s="53"/>
      <c r="Y251" s="53"/>
      <c r="Z251" s="54">
        <v>1</v>
      </c>
      <c r="AA251" s="54"/>
      <c r="AB251" s="56"/>
      <c r="AC251" s="53"/>
      <c r="AD251" s="59"/>
    </row>
    <row r="252" spans="1:30" s="57" customFormat="1" ht="20.25">
      <c r="A252" s="53">
        <v>234</v>
      </c>
      <c r="B252" s="53">
        <v>3</v>
      </c>
      <c r="C252" s="53">
        <v>9</v>
      </c>
      <c r="D252" s="53">
        <v>10</v>
      </c>
      <c r="E252" s="58"/>
      <c r="F252" s="58"/>
      <c r="G252" s="53" t="s">
        <v>43</v>
      </c>
      <c r="H252" s="53">
        <v>2</v>
      </c>
      <c r="I252" s="53">
        <v>9058</v>
      </c>
      <c r="J252" s="53">
        <v>6</v>
      </c>
      <c r="K252" s="53" t="s">
        <v>29</v>
      </c>
      <c r="L252" s="53">
        <v>1</v>
      </c>
      <c r="M252" s="53"/>
      <c r="N252" s="53"/>
      <c r="O252" s="55">
        <v>8.5</v>
      </c>
      <c r="P252" s="55">
        <v>8.4700000000000006</v>
      </c>
      <c r="Q252" s="55">
        <f t="shared" si="11"/>
        <v>-2.9999999999999361E-2</v>
      </c>
      <c r="R252" s="55"/>
      <c r="S252" s="55" t="str">
        <f t="shared" si="9"/>
        <v/>
      </c>
      <c r="T252" s="12"/>
      <c r="U252" s="12"/>
      <c r="V252" s="12"/>
      <c r="W252" s="12"/>
      <c r="X252" s="53"/>
      <c r="Y252" s="53"/>
      <c r="Z252" s="54">
        <v>1</v>
      </c>
      <c r="AA252" s="54"/>
      <c r="AB252" s="56"/>
      <c r="AC252" s="53"/>
      <c r="AD252" s="59"/>
    </row>
    <row r="253" spans="1:30" s="57" customFormat="1" ht="20.25">
      <c r="A253" s="53">
        <v>235</v>
      </c>
      <c r="B253" s="53">
        <v>3</v>
      </c>
      <c r="C253" s="53">
        <v>9</v>
      </c>
      <c r="D253" s="53">
        <v>10</v>
      </c>
      <c r="E253" s="58"/>
      <c r="F253" s="58"/>
      <c r="G253" s="53" t="s">
        <v>43</v>
      </c>
      <c r="H253" s="53">
        <v>1</v>
      </c>
      <c r="I253" s="53">
        <v>9058</v>
      </c>
      <c r="J253" s="53">
        <v>8</v>
      </c>
      <c r="K253" s="53" t="s">
        <v>29</v>
      </c>
      <c r="L253" s="53">
        <v>1</v>
      </c>
      <c r="M253" s="53"/>
      <c r="N253" s="53"/>
      <c r="O253" s="55">
        <v>9.23</v>
      </c>
      <c r="P253" s="55">
        <v>9.1999999999999993</v>
      </c>
      <c r="Q253" s="55">
        <f t="shared" si="11"/>
        <v>-3.0000000000001137E-2</v>
      </c>
      <c r="R253" s="55"/>
      <c r="S253" s="55" t="str">
        <f t="shared" si="9"/>
        <v/>
      </c>
      <c r="T253" s="12"/>
      <c r="U253" s="12"/>
      <c r="V253" s="12"/>
      <c r="W253" s="12"/>
      <c r="X253" s="53"/>
      <c r="Y253" s="53"/>
      <c r="Z253" s="54">
        <v>1</v>
      </c>
      <c r="AA253" s="54"/>
      <c r="AB253" s="56"/>
      <c r="AC253" s="53"/>
      <c r="AD253" s="59"/>
    </row>
    <row r="254" spans="1:30" s="57" customFormat="1" ht="20.25">
      <c r="A254" s="53">
        <v>236</v>
      </c>
      <c r="B254" s="53">
        <v>3</v>
      </c>
      <c r="C254" s="53">
        <v>9</v>
      </c>
      <c r="D254" s="53">
        <v>11</v>
      </c>
      <c r="E254" s="58"/>
      <c r="F254" s="58"/>
      <c r="G254" s="53" t="s">
        <v>43</v>
      </c>
      <c r="H254" s="53">
        <v>1</v>
      </c>
      <c r="I254" s="53">
        <v>9059</v>
      </c>
      <c r="J254" s="53">
        <v>2</v>
      </c>
      <c r="K254" s="53" t="s">
        <v>31</v>
      </c>
      <c r="L254" s="53">
        <v>1</v>
      </c>
      <c r="M254" s="53"/>
      <c r="N254" s="53"/>
      <c r="O254" s="55">
        <v>12.56</v>
      </c>
      <c r="P254" s="55">
        <v>12.54</v>
      </c>
      <c r="Q254" s="55">
        <f t="shared" ref="Q254:Q269" si="12">P254-O254</f>
        <v>-2.000000000000135E-2</v>
      </c>
      <c r="R254" s="55"/>
      <c r="S254" s="55" t="str">
        <f t="shared" si="9"/>
        <v/>
      </c>
      <c r="T254" s="12"/>
      <c r="U254" s="12"/>
      <c r="V254" s="12"/>
      <c r="W254" s="12"/>
      <c r="X254" s="53"/>
      <c r="Y254" s="53"/>
      <c r="Z254" s="54">
        <v>1</v>
      </c>
      <c r="AA254" s="54"/>
      <c r="AB254" s="56"/>
      <c r="AC254" s="53"/>
      <c r="AD254" s="59"/>
    </row>
    <row r="255" spans="1:30" s="57" customFormat="1" ht="20.25">
      <c r="A255" s="53">
        <v>237</v>
      </c>
      <c r="B255" s="53">
        <v>3</v>
      </c>
      <c r="C255" s="53">
        <v>9</v>
      </c>
      <c r="D255" s="53">
        <v>11</v>
      </c>
      <c r="E255" s="58"/>
      <c r="F255" s="58"/>
      <c r="G255" s="53" t="s">
        <v>43</v>
      </c>
      <c r="H255" s="53">
        <v>2</v>
      </c>
      <c r="I255" s="53">
        <v>9060</v>
      </c>
      <c r="J255" s="53">
        <v>2</v>
      </c>
      <c r="K255" s="53" t="s">
        <v>31</v>
      </c>
      <c r="L255" s="53">
        <v>1</v>
      </c>
      <c r="M255" s="53"/>
      <c r="N255" s="53"/>
      <c r="O255" s="55">
        <v>8.3000000000000007</v>
      </c>
      <c r="P255" s="55">
        <v>8.27</v>
      </c>
      <c r="Q255" s="55">
        <f t="shared" si="12"/>
        <v>-3.0000000000001137E-2</v>
      </c>
      <c r="R255" s="55"/>
      <c r="S255" s="55" t="str">
        <f t="shared" si="9"/>
        <v/>
      </c>
      <c r="T255" s="12"/>
      <c r="U255" s="12"/>
      <c r="V255" s="12"/>
      <c r="W255" s="12"/>
      <c r="X255" s="53"/>
      <c r="Y255" s="53"/>
      <c r="Z255" s="54">
        <v>1</v>
      </c>
      <c r="AA255" s="54"/>
      <c r="AB255" s="56"/>
      <c r="AC255" s="53"/>
      <c r="AD255" s="59"/>
    </row>
    <row r="256" spans="1:30" s="57" customFormat="1" ht="20.25">
      <c r="A256" s="53">
        <v>238</v>
      </c>
      <c r="B256" s="53">
        <v>3</v>
      </c>
      <c r="C256" s="53">
        <v>9</v>
      </c>
      <c r="D256" s="53">
        <v>11</v>
      </c>
      <c r="E256" s="58"/>
      <c r="F256" s="58"/>
      <c r="G256" s="53" t="s">
        <v>43</v>
      </c>
      <c r="H256" s="53">
        <v>1</v>
      </c>
      <c r="I256" s="53">
        <v>9060</v>
      </c>
      <c r="J256" s="53">
        <v>6</v>
      </c>
      <c r="K256" s="53" t="s">
        <v>29</v>
      </c>
      <c r="L256" s="53">
        <v>1</v>
      </c>
      <c r="M256" s="53"/>
      <c r="N256" s="53"/>
      <c r="O256" s="55">
        <v>8.07</v>
      </c>
      <c r="P256" s="55">
        <v>8.0399999999999991</v>
      </c>
      <c r="Q256" s="55">
        <f t="shared" si="12"/>
        <v>-3.0000000000001137E-2</v>
      </c>
      <c r="R256" s="55"/>
      <c r="S256" s="55" t="str">
        <f t="shared" si="9"/>
        <v/>
      </c>
      <c r="T256" s="12"/>
      <c r="U256" s="12"/>
      <c r="V256" s="12"/>
      <c r="W256" s="12"/>
      <c r="X256" s="53"/>
      <c r="Y256" s="53"/>
      <c r="Z256" s="54">
        <v>1</v>
      </c>
      <c r="AA256" s="54" t="s">
        <v>30</v>
      </c>
      <c r="AB256" s="56"/>
      <c r="AC256" s="53"/>
      <c r="AD256" s="59"/>
    </row>
    <row r="257" spans="1:30" s="57" customFormat="1" ht="20.25">
      <c r="A257" s="53">
        <v>239</v>
      </c>
      <c r="B257" s="53">
        <v>3</v>
      </c>
      <c r="C257" s="53">
        <v>9</v>
      </c>
      <c r="D257" s="53">
        <v>11</v>
      </c>
      <c r="E257" s="58"/>
      <c r="F257" s="58"/>
      <c r="G257" s="53" t="s">
        <v>43</v>
      </c>
      <c r="H257" s="53">
        <v>1</v>
      </c>
      <c r="I257" s="53">
        <v>9064</v>
      </c>
      <c r="J257" s="53">
        <v>2</v>
      </c>
      <c r="K257" s="53" t="s">
        <v>29</v>
      </c>
      <c r="L257" s="53">
        <v>1</v>
      </c>
      <c r="M257" s="53"/>
      <c r="N257" s="53"/>
      <c r="O257" s="55">
        <v>8.74</v>
      </c>
      <c r="P257" s="55">
        <v>8.6999999999999993</v>
      </c>
      <c r="Q257" s="55">
        <f t="shared" si="12"/>
        <v>-4.0000000000000924E-2</v>
      </c>
      <c r="R257" s="55"/>
      <c r="S257" s="55" t="str">
        <f t="shared" si="9"/>
        <v/>
      </c>
      <c r="T257" s="12"/>
      <c r="U257" s="12"/>
      <c r="V257" s="12"/>
      <c r="W257" s="12"/>
      <c r="X257" s="53"/>
      <c r="Y257" s="53"/>
      <c r="Z257" s="54">
        <v>1</v>
      </c>
      <c r="AA257" s="54"/>
      <c r="AB257" s="56"/>
      <c r="AC257" s="53"/>
      <c r="AD257" s="59"/>
    </row>
    <row r="258" spans="1:30" s="57" customFormat="1" ht="20.25">
      <c r="A258" s="53">
        <v>240</v>
      </c>
      <c r="B258" s="53">
        <v>3</v>
      </c>
      <c r="C258" s="53">
        <v>9</v>
      </c>
      <c r="D258" s="53">
        <v>11</v>
      </c>
      <c r="E258" s="58"/>
      <c r="F258" s="58"/>
      <c r="G258" s="53" t="s">
        <v>43</v>
      </c>
      <c r="H258" s="53">
        <v>1</v>
      </c>
      <c r="I258" s="53">
        <v>9064</v>
      </c>
      <c r="J258" s="53">
        <v>5</v>
      </c>
      <c r="K258" s="53" t="s">
        <v>29</v>
      </c>
      <c r="L258" s="53">
        <v>1</v>
      </c>
      <c r="M258" s="53"/>
      <c r="N258" s="53"/>
      <c r="O258" s="55">
        <v>11</v>
      </c>
      <c r="P258" s="55">
        <v>10.96</v>
      </c>
      <c r="Q258" s="55">
        <f t="shared" si="12"/>
        <v>-3.9999999999999147E-2</v>
      </c>
      <c r="R258" s="55"/>
      <c r="S258" s="55" t="str">
        <f t="shared" si="9"/>
        <v/>
      </c>
      <c r="T258" s="12"/>
      <c r="U258" s="12"/>
      <c r="V258" s="12"/>
      <c r="W258" s="12"/>
      <c r="X258" s="53"/>
      <c r="Y258" s="53"/>
      <c r="Z258" s="54">
        <v>1</v>
      </c>
      <c r="AA258" s="54" t="s">
        <v>30</v>
      </c>
      <c r="AB258" s="56"/>
      <c r="AC258" s="53"/>
      <c r="AD258" s="59"/>
    </row>
    <row r="259" spans="1:30" s="57" customFormat="1" ht="20.25">
      <c r="A259" s="53">
        <v>241</v>
      </c>
      <c r="B259" s="53">
        <v>3</v>
      </c>
      <c r="C259" s="53">
        <v>9</v>
      </c>
      <c r="D259" s="53">
        <v>11</v>
      </c>
      <c r="E259" s="58"/>
      <c r="F259" s="58"/>
      <c r="G259" s="53" t="s">
        <v>44</v>
      </c>
      <c r="H259" s="53">
        <v>1</v>
      </c>
      <c r="I259" s="53">
        <v>9066</v>
      </c>
      <c r="J259" s="53">
        <v>5</v>
      </c>
      <c r="K259" s="53" t="s">
        <v>31</v>
      </c>
      <c r="L259" s="53">
        <v>1</v>
      </c>
      <c r="M259" s="53"/>
      <c r="N259" s="53"/>
      <c r="O259" s="55">
        <v>9.75</v>
      </c>
      <c r="P259" s="55">
        <v>9.7200000000000006</v>
      </c>
      <c r="Q259" s="55">
        <f t="shared" si="12"/>
        <v>-2.9999999999999361E-2</v>
      </c>
      <c r="R259" s="55"/>
      <c r="S259" s="55" t="str">
        <f t="shared" si="9"/>
        <v/>
      </c>
      <c r="T259" s="12"/>
      <c r="U259" s="12"/>
      <c r="V259" s="12"/>
      <c r="W259" s="12"/>
      <c r="X259" s="53"/>
      <c r="Y259" s="53"/>
      <c r="Z259" s="54">
        <v>1</v>
      </c>
      <c r="AA259" s="54"/>
      <c r="AB259" s="56"/>
      <c r="AC259" s="53"/>
      <c r="AD259" s="59"/>
    </row>
    <row r="260" spans="1:30" s="57" customFormat="1" ht="20.25">
      <c r="A260" s="53">
        <v>242</v>
      </c>
      <c r="B260" s="53">
        <v>3</v>
      </c>
      <c r="C260" s="53">
        <v>9</v>
      </c>
      <c r="D260" s="53">
        <v>11</v>
      </c>
      <c r="E260" s="58"/>
      <c r="F260" s="58"/>
      <c r="G260" s="53" t="s">
        <v>44</v>
      </c>
      <c r="H260" s="53">
        <v>1</v>
      </c>
      <c r="I260" s="53">
        <v>9066</v>
      </c>
      <c r="J260" s="53">
        <v>8</v>
      </c>
      <c r="K260" s="53" t="s">
        <v>31</v>
      </c>
      <c r="L260" s="53">
        <v>1</v>
      </c>
      <c r="M260" s="53"/>
      <c r="N260" s="53"/>
      <c r="O260" s="55">
        <v>12.55</v>
      </c>
      <c r="P260" s="55">
        <v>12.5</v>
      </c>
      <c r="Q260" s="55">
        <f t="shared" si="12"/>
        <v>-5.0000000000000711E-2</v>
      </c>
      <c r="R260" s="55"/>
      <c r="S260" s="55" t="str">
        <f t="shared" si="9"/>
        <v/>
      </c>
      <c r="T260" s="12"/>
      <c r="U260" s="12"/>
      <c r="V260" s="12"/>
      <c r="W260" s="12"/>
      <c r="X260" s="53"/>
      <c r="Y260" s="53"/>
      <c r="Z260" s="54" t="s">
        <v>30</v>
      </c>
      <c r="AA260" s="54">
        <v>1</v>
      </c>
      <c r="AB260" s="56"/>
      <c r="AC260" s="53"/>
      <c r="AD260" s="59"/>
    </row>
    <row r="261" spans="1:30" s="57" customFormat="1" ht="20.25">
      <c r="A261" s="53">
        <v>243</v>
      </c>
      <c r="B261" s="53">
        <v>3</v>
      </c>
      <c r="C261" s="53">
        <v>9</v>
      </c>
      <c r="D261" s="53">
        <v>11</v>
      </c>
      <c r="E261" s="58"/>
      <c r="F261" s="58"/>
      <c r="G261" s="53" t="s">
        <v>44</v>
      </c>
      <c r="H261" s="53">
        <v>1</v>
      </c>
      <c r="I261" s="53">
        <v>9066</v>
      </c>
      <c r="J261" s="53">
        <v>8</v>
      </c>
      <c r="K261" s="53" t="s">
        <v>29</v>
      </c>
      <c r="L261" s="53">
        <v>1</v>
      </c>
      <c r="M261" s="53"/>
      <c r="N261" s="53"/>
      <c r="O261" s="55">
        <v>12.54</v>
      </c>
      <c r="P261" s="55">
        <v>12.5</v>
      </c>
      <c r="Q261" s="55">
        <f t="shared" si="12"/>
        <v>-3.9999999999999147E-2</v>
      </c>
      <c r="R261" s="55"/>
      <c r="S261" s="55" t="str">
        <f t="shared" si="9"/>
        <v/>
      </c>
      <c r="T261" s="12"/>
      <c r="U261" s="12"/>
      <c r="V261" s="12"/>
      <c r="W261" s="12"/>
      <c r="X261" s="53"/>
      <c r="Y261" s="53"/>
      <c r="Z261" s="54" t="s">
        <v>30</v>
      </c>
      <c r="AA261" s="54">
        <v>1</v>
      </c>
      <c r="AB261" s="56"/>
      <c r="AC261" s="53"/>
      <c r="AD261" s="59"/>
    </row>
    <row r="262" spans="1:30" s="57" customFormat="1" ht="20.25">
      <c r="A262" s="53">
        <v>244</v>
      </c>
      <c r="B262" s="53">
        <v>3</v>
      </c>
      <c r="C262" s="53">
        <v>9</v>
      </c>
      <c r="D262" s="53">
        <v>11</v>
      </c>
      <c r="E262" s="58"/>
      <c r="F262" s="58"/>
      <c r="G262" s="53" t="s">
        <v>44</v>
      </c>
      <c r="H262" s="53">
        <v>1</v>
      </c>
      <c r="I262" s="53">
        <v>9067</v>
      </c>
      <c r="J262" s="53">
        <v>2</v>
      </c>
      <c r="K262" s="53" t="s">
        <v>31</v>
      </c>
      <c r="L262" s="53">
        <v>1</v>
      </c>
      <c r="M262" s="53"/>
      <c r="N262" s="53"/>
      <c r="O262" s="55">
        <v>12.55</v>
      </c>
      <c r="P262" s="55">
        <v>12.5</v>
      </c>
      <c r="Q262" s="55">
        <f t="shared" si="12"/>
        <v>-5.0000000000000711E-2</v>
      </c>
      <c r="R262" s="55"/>
      <c r="S262" s="55" t="str">
        <f t="shared" si="9"/>
        <v/>
      </c>
      <c r="T262" s="12"/>
      <c r="U262" s="12"/>
      <c r="V262" s="12"/>
      <c r="W262" s="12"/>
      <c r="X262" s="53"/>
      <c r="Y262" s="53"/>
      <c r="Z262" s="54"/>
      <c r="AA262" s="54">
        <v>1</v>
      </c>
      <c r="AB262" s="56"/>
      <c r="AC262" s="53"/>
      <c r="AD262" s="59"/>
    </row>
    <row r="263" spans="1:30" s="57" customFormat="1" ht="20.25">
      <c r="A263" s="53">
        <v>245</v>
      </c>
      <c r="B263" s="53">
        <v>3</v>
      </c>
      <c r="C263" s="53">
        <v>9</v>
      </c>
      <c r="D263" s="53">
        <v>11</v>
      </c>
      <c r="E263" s="58"/>
      <c r="F263" s="58"/>
      <c r="G263" s="53" t="s">
        <v>44</v>
      </c>
      <c r="H263" s="53">
        <v>2</v>
      </c>
      <c r="I263" s="53">
        <v>9067</v>
      </c>
      <c r="J263" s="53">
        <v>2</v>
      </c>
      <c r="K263" s="53" t="s">
        <v>31</v>
      </c>
      <c r="L263" s="53">
        <v>1</v>
      </c>
      <c r="M263" s="53"/>
      <c r="N263" s="53"/>
      <c r="O263" s="55">
        <v>12.54</v>
      </c>
      <c r="P263" s="55">
        <v>12.5</v>
      </c>
      <c r="Q263" s="55">
        <f t="shared" si="12"/>
        <v>-3.9999999999999147E-2</v>
      </c>
      <c r="R263" s="55"/>
      <c r="S263" s="55" t="str">
        <f t="shared" si="9"/>
        <v/>
      </c>
      <c r="T263" s="12"/>
      <c r="U263" s="12"/>
      <c r="V263" s="12"/>
      <c r="W263" s="12"/>
      <c r="X263" s="53"/>
      <c r="Y263" s="53"/>
      <c r="Z263" s="54" t="s">
        <v>30</v>
      </c>
      <c r="AA263" s="54">
        <v>1</v>
      </c>
      <c r="AB263" s="56"/>
      <c r="AC263" s="53"/>
      <c r="AD263" s="59"/>
    </row>
    <row r="264" spans="1:30" s="57" customFormat="1" ht="20.25">
      <c r="A264" s="53">
        <v>246</v>
      </c>
      <c r="B264" s="53">
        <v>3</v>
      </c>
      <c r="C264" s="53">
        <v>9</v>
      </c>
      <c r="D264" s="53">
        <v>11</v>
      </c>
      <c r="E264" s="58"/>
      <c r="F264" s="58"/>
      <c r="G264" s="53" t="s">
        <v>44</v>
      </c>
      <c r="H264" s="53">
        <v>1</v>
      </c>
      <c r="I264" s="53">
        <v>9067</v>
      </c>
      <c r="J264" s="53">
        <v>5</v>
      </c>
      <c r="K264" s="53" t="s">
        <v>29</v>
      </c>
      <c r="L264" s="53">
        <v>1</v>
      </c>
      <c r="M264" s="53"/>
      <c r="N264" s="53"/>
      <c r="O264" s="55">
        <v>8.1999999999999993</v>
      </c>
      <c r="P264" s="55">
        <v>8.16</v>
      </c>
      <c r="Q264" s="55">
        <f t="shared" si="12"/>
        <v>-3.9999999999999147E-2</v>
      </c>
      <c r="R264" s="55"/>
      <c r="S264" s="55" t="str">
        <f t="shared" si="9"/>
        <v/>
      </c>
      <c r="T264" s="12"/>
      <c r="U264" s="12"/>
      <c r="V264" s="12"/>
      <c r="W264" s="12"/>
      <c r="X264" s="53"/>
      <c r="Y264" s="53"/>
      <c r="Z264" s="54"/>
      <c r="AA264" s="54">
        <v>1</v>
      </c>
      <c r="AB264" s="56"/>
      <c r="AC264" s="53"/>
      <c r="AD264" s="59"/>
    </row>
    <row r="265" spans="1:30" s="57" customFormat="1" ht="20.25">
      <c r="A265" s="53">
        <v>247</v>
      </c>
      <c r="B265" s="53">
        <v>3</v>
      </c>
      <c r="C265" s="53">
        <v>9</v>
      </c>
      <c r="D265" s="53">
        <v>11</v>
      </c>
      <c r="E265" s="58"/>
      <c r="F265" s="58"/>
      <c r="G265" s="53" t="s">
        <v>44</v>
      </c>
      <c r="H265" s="53">
        <v>2</v>
      </c>
      <c r="I265" s="53">
        <v>9068</v>
      </c>
      <c r="J265" s="53">
        <v>2</v>
      </c>
      <c r="K265" s="53" t="s">
        <v>29</v>
      </c>
      <c r="L265" s="53">
        <v>1</v>
      </c>
      <c r="M265" s="53"/>
      <c r="N265" s="53"/>
      <c r="O265" s="55">
        <v>12.54</v>
      </c>
      <c r="P265" s="55">
        <v>12.5</v>
      </c>
      <c r="Q265" s="55">
        <f t="shared" si="12"/>
        <v>-3.9999999999999147E-2</v>
      </c>
      <c r="R265" s="55"/>
      <c r="S265" s="55" t="str">
        <f t="shared" si="9"/>
        <v/>
      </c>
      <c r="T265" s="12"/>
      <c r="U265" s="12"/>
      <c r="V265" s="12"/>
      <c r="W265" s="12"/>
      <c r="X265" s="53"/>
      <c r="Y265" s="53"/>
      <c r="Z265" s="54"/>
      <c r="AA265" s="54">
        <v>1</v>
      </c>
      <c r="AB265" s="56"/>
      <c r="AC265" s="53"/>
      <c r="AD265" s="59"/>
    </row>
    <row r="266" spans="1:30" s="57" customFormat="1" ht="20.25">
      <c r="A266" s="53">
        <v>248</v>
      </c>
      <c r="B266" s="53">
        <v>3</v>
      </c>
      <c r="C266" s="53">
        <v>9</v>
      </c>
      <c r="D266" s="53">
        <v>11</v>
      </c>
      <c r="E266" s="58"/>
      <c r="F266" s="58"/>
      <c r="G266" s="53" t="s">
        <v>44</v>
      </c>
      <c r="H266" s="53">
        <v>2</v>
      </c>
      <c r="I266" s="53">
        <v>9068</v>
      </c>
      <c r="J266" s="53">
        <v>6</v>
      </c>
      <c r="K266" s="53" t="s">
        <v>31</v>
      </c>
      <c r="L266" s="53">
        <v>1</v>
      </c>
      <c r="M266" s="53"/>
      <c r="N266" s="53"/>
      <c r="O266" s="55">
        <v>12.55</v>
      </c>
      <c r="P266" s="55">
        <v>12.5</v>
      </c>
      <c r="Q266" s="55">
        <f t="shared" si="12"/>
        <v>-5.0000000000000711E-2</v>
      </c>
      <c r="R266" s="55"/>
      <c r="S266" s="55" t="str">
        <f t="shared" ref="S266:S321" si="13">IF(R266&gt;0,R266-P266,"")</f>
        <v/>
      </c>
      <c r="T266" s="12"/>
      <c r="U266" s="12"/>
      <c r="V266" s="12"/>
      <c r="W266" s="12"/>
      <c r="X266" s="53"/>
      <c r="Y266" s="53"/>
      <c r="Z266" s="54" t="s">
        <v>30</v>
      </c>
      <c r="AA266" s="54">
        <v>1</v>
      </c>
      <c r="AB266" s="56"/>
      <c r="AC266" s="53"/>
      <c r="AD266" s="59"/>
    </row>
    <row r="267" spans="1:30" s="57" customFormat="1" ht="20.25">
      <c r="A267" s="53">
        <v>249</v>
      </c>
      <c r="B267" s="53">
        <v>3</v>
      </c>
      <c r="C267" s="53">
        <v>9</v>
      </c>
      <c r="D267" s="53">
        <v>11</v>
      </c>
      <c r="E267" s="58"/>
      <c r="F267" s="58"/>
      <c r="G267" s="53" t="s">
        <v>44</v>
      </c>
      <c r="H267" s="53">
        <v>2</v>
      </c>
      <c r="I267" s="53">
        <v>9068</v>
      </c>
      <c r="J267" s="53">
        <v>6</v>
      </c>
      <c r="K267" s="53" t="s">
        <v>29</v>
      </c>
      <c r="L267" s="53">
        <v>1</v>
      </c>
      <c r="M267" s="53"/>
      <c r="N267" s="53"/>
      <c r="O267" s="55">
        <v>12.56</v>
      </c>
      <c r="P267" s="55">
        <v>12.5</v>
      </c>
      <c r="Q267" s="55" t="s">
        <v>65</v>
      </c>
      <c r="R267" s="55"/>
      <c r="S267" s="55" t="str">
        <f t="shared" si="13"/>
        <v/>
      </c>
      <c r="T267" s="12"/>
      <c r="U267" s="12"/>
      <c r="V267" s="12"/>
      <c r="W267" s="12"/>
      <c r="X267" s="53"/>
      <c r="Y267" s="53"/>
      <c r="Z267" s="54"/>
      <c r="AA267" s="54">
        <v>1</v>
      </c>
      <c r="AB267" s="56"/>
      <c r="AC267" s="53"/>
      <c r="AD267" s="59"/>
    </row>
    <row r="268" spans="1:30" s="57" customFormat="1" ht="20.25">
      <c r="A268" s="53">
        <v>250</v>
      </c>
      <c r="B268" s="53">
        <v>3</v>
      </c>
      <c r="C268" s="53">
        <v>9</v>
      </c>
      <c r="D268" s="53">
        <v>11</v>
      </c>
      <c r="E268" s="58"/>
      <c r="F268" s="58"/>
      <c r="G268" s="53" t="s">
        <v>44</v>
      </c>
      <c r="H268" s="53">
        <v>1</v>
      </c>
      <c r="I268" s="53">
        <v>9068</v>
      </c>
      <c r="J268" s="53">
        <v>7</v>
      </c>
      <c r="K268" s="53" t="s">
        <v>29</v>
      </c>
      <c r="L268" s="53">
        <v>1</v>
      </c>
      <c r="M268" s="53"/>
      <c r="N268" s="53"/>
      <c r="O268" s="55">
        <v>12.54</v>
      </c>
      <c r="P268" s="55">
        <v>12.5</v>
      </c>
      <c r="Q268" s="55">
        <f t="shared" si="12"/>
        <v>-3.9999999999999147E-2</v>
      </c>
      <c r="R268" s="55"/>
      <c r="S268" s="55" t="str">
        <f t="shared" si="13"/>
        <v/>
      </c>
      <c r="T268" s="12"/>
      <c r="U268" s="12"/>
      <c r="V268" s="12"/>
      <c r="W268" s="12"/>
      <c r="X268" s="53"/>
      <c r="Y268" s="53"/>
      <c r="Z268" s="54"/>
      <c r="AA268" s="54">
        <v>1</v>
      </c>
      <c r="AB268" s="56"/>
      <c r="AC268" s="53"/>
      <c r="AD268" s="59"/>
    </row>
    <row r="269" spans="1:30" s="57" customFormat="1" ht="20.25">
      <c r="A269" s="53">
        <v>251</v>
      </c>
      <c r="B269" s="53">
        <v>3</v>
      </c>
      <c r="C269" s="53">
        <v>9</v>
      </c>
      <c r="D269" s="53">
        <v>11</v>
      </c>
      <c r="E269" s="58"/>
      <c r="F269" s="58"/>
      <c r="G269" s="53" t="s">
        <v>44</v>
      </c>
      <c r="H269" s="53">
        <v>1</v>
      </c>
      <c r="I269" s="53">
        <v>9068</v>
      </c>
      <c r="J269" s="53">
        <v>7</v>
      </c>
      <c r="K269" s="53" t="s">
        <v>31</v>
      </c>
      <c r="L269" s="53">
        <v>1</v>
      </c>
      <c r="M269" s="53"/>
      <c r="N269" s="53"/>
      <c r="O269" s="55">
        <v>12.54</v>
      </c>
      <c r="P269" s="55">
        <v>12.5</v>
      </c>
      <c r="Q269" s="55">
        <f t="shared" si="12"/>
        <v>-3.9999999999999147E-2</v>
      </c>
      <c r="R269" s="55"/>
      <c r="S269" s="55" t="str">
        <f t="shared" si="13"/>
        <v/>
      </c>
      <c r="T269" s="12"/>
      <c r="U269" s="12"/>
      <c r="V269" s="12"/>
      <c r="W269" s="12"/>
      <c r="X269" s="53"/>
      <c r="Y269" s="53"/>
      <c r="Z269" s="54"/>
      <c r="AA269" s="54">
        <v>1</v>
      </c>
      <c r="AB269" s="56"/>
      <c r="AC269" s="53"/>
      <c r="AD269" s="59"/>
    </row>
    <row r="270" spans="1:30" s="57" customFormat="1" ht="20.25">
      <c r="A270" s="53">
        <v>252</v>
      </c>
      <c r="B270" s="53">
        <v>3</v>
      </c>
      <c r="C270" s="53">
        <v>9</v>
      </c>
      <c r="D270" s="53">
        <v>12</v>
      </c>
      <c r="E270" s="58"/>
      <c r="F270" s="58"/>
      <c r="G270" s="53" t="s">
        <v>45</v>
      </c>
      <c r="H270" s="53">
        <v>1</v>
      </c>
      <c r="I270" s="53">
        <v>9072</v>
      </c>
      <c r="J270" s="53">
        <v>6</v>
      </c>
      <c r="K270" s="53" t="s">
        <v>29</v>
      </c>
      <c r="L270" s="53">
        <v>1</v>
      </c>
      <c r="M270" s="53"/>
      <c r="N270" s="53"/>
      <c r="O270" s="55">
        <v>8.9</v>
      </c>
      <c r="P270" s="55">
        <v>8.8699999999999992</v>
      </c>
      <c r="Q270" s="55">
        <f t="shared" si="11"/>
        <v>-3.0000000000001137E-2</v>
      </c>
      <c r="R270" s="55"/>
      <c r="S270" s="55" t="str">
        <f t="shared" si="13"/>
        <v/>
      </c>
      <c r="T270" s="12"/>
      <c r="U270" s="12"/>
      <c r="V270" s="12"/>
      <c r="W270" s="12"/>
      <c r="X270" s="53"/>
      <c r="Y270" s="53"/>
      <c r="Z270" s="54">
        <v>1</v>
      </c>
      <c r="AA270" s="54"/>
      <c r="AB270" s="56"/>
      <c r="AC270" s="53"/>
      <c r="AD270" s="59"/>
    </row>
    <row r="271" spans="1:30" s="57" customFormat="1" ht="20.25">
      <c r="A271" s="53">
        <v>253</v>
      </c>
      <c r="B271" s="53">
        <v>3</v>
      </c>
      <c r="C271" s="53">
        <v>9</v>
      </c>
      <c r="D271" s="53">
        <v>12</v>
      </c>
      <c r="E271" s="58"/>
      <c r="F271" s="58"/>
      <c r="G271" s="53" t="s">
        <v>45</v>
      </c>
      <c r="H271" s="53">
        <v>1</v>
      </c>
      <c r="I271" s="53">
        <v>9072</v>
      </c>
      <c r="J271" s="53">
        <v>7</v>
      </c>
      <c r="K271" s="53" t="s">
        <v>29</v>
      </c>
      <c r="L271" s="53">
        <v>1</v>
      </c>
      <c r="M271" s="53"/>
      <c r="N271" s="53"/>
      <c r="O271" s="55">
        <v>8.14</v>
      </c>
      <c r="P271" s="55">
        <v>8.1</v>
      </c>
      <c r="Q271" s="55">
        <f t="shared" si="11"/>
        <v>-4.0000000000000924E-2</v>
      </c>
      <c r="R271" s="55"/>
      <c r="S271" s="55" t="str">
        <f t="shared" si="13"/>
        <v/>
      </c>
      <c r="T271" s="12"/>
      <c r="U271" s="12"/>
      <c r="V271" s="12"/>
      <c r="W271" s="12"/>
      <c r="X271" s="53"/>
      <c r="Y271" s="53"/>
      <c r="Z271" s="54">
        <v>1</v>
      </c>
      <c r="AA271" s="54"/>
      <c r="AB271" s="56"/>
      <c r="AC271" s="53"/>
      <c r="AD271" s="59"/>
    </row>
    <row r="272" spans="1:30" s="57" customFormat="1" ht="20.25">
      <c r="A272" s="53">
        <v>254</v>
      </c>
      <c r="B272" s="53">
        <v>3</v>
      </c>
      <c r="C272" s="53">
        <v>9</v>
      </c>
      <c r="D272" s="53">
        <v>12</v>
      </c>
      <c r="E272" s="58"/>
      <c r="F272" s="58"/>
      <c r="G272" s="53" t="s">
        <v>45</v>
      </c>
      <c r="H272" s="53">
        <v>1</v>
      </c>
      <c r="I272" s="53">
        <v>9074</v>
      </c>
      <c r="J272" s="53">
        <v>4</v>
      </c>
      <c r="K272" s="53" t="s">
        <v>31</v>
      </c>
      <c r="L272" s="53">
        <v>1</v>
      </c>
      <c r="M272" s="53"/>
      <c r="N272" s="53"/>
      <c r="O272" s="55">
        <v>8.64</v>
      </c>
      <c r="P272" s="55">
        <v>8.6</v>
      </c>
      <c r="Q272" s="55">
        <f t="shared" si="11"/>
        <v>-4.0000000000000924E-2</v>
      </c>
      <c r="R272" s="55"/>
      <c r="S272" s="55" t="str">
        <f t="shared" si="13"/>
        <v/>
      </c>
      <c r="T272" s="12"/>
      <c r="U272" s="12"/>
      <c r="V272" s="12"/>
      <c r="W272" s="12"/>
      <c r="X272" s="53"/>
      <c r="Y272" s="53"/>
      <c r="Z272" s="54">
        <v>1</v>
      </c>
      <c r="AA272" s="54"/>
      <c r="AB272" s="56"/>
      <c r="AC272" s="53"/>
      <c r="AD272" s="59"/>
    </row>
    <row r="273" spans="1:30" s="57" customFormat="1" ht="20.25">
      <c r="A273" s="53">
        <v>255</v>
      </c>
      <c r="B273" s="53">
        <v>3</v>
      </c>
      <c r="C273" s="53">
        <v>9</v>
      </c>
      <c r="D273" s="53">
        <v>12</v>
      </c>
      <c r="E273" s="58"/>
      <c r="F273" s="58"/>
      <c r="G273" s="53" t="s">
        <v>45</v>
      </c>
      <c r="H273" s="53">
        <v>2</v>
      </c>
      <c r="I273" s="53">
        <v>9074</v>
      </c>
      <c r="J273" s="53">
        <v>6</v>
      </c>
      <c r="K273" s="53" t="s">
        <v>31</v>
      </c>
      <c r="L273" s="53">
        <v>1</v>
      </c>
      <c r="M273" s="53"/>
      <c r="N273" s="53"/>
      <c r="O273" s="55">
        <v>8.19</v>
      </c>
      <c r="P273" s="55">
        <v>8.15</v>
      </c>
      <c r="Q273" s="55">
        <f t="shared" si="11"/>
        <v>-3.9999999999999147E-2</v>
      </c>
      <c r="R273" s="55"/>
      <c r="S273" s="55" t="str">
        <f t="shared" si="13"/>
        <v/>
      </c>
      <c r="T273" s="12"/>
      <c r="U273" s="12"/>
      <c r="V273" s="12"/>
      <c r="W273" s="12"/>
      <c r="X273" s="53"/>
      <c r="Y273" s="53"/>
      <c r="Z273" s="54">
        <v>1</v>
      </c>
      <c r="AA273" s="54"/>
      <c r="AB273" s="56"/>
      <c r="AC273" s="53"/>
      <c r="AD273" s="59"/>
    </row>
    <row r="274" spans="1:30" s="57" customFormat="1" ht="20.25">
      <c r="A274" s="53">
        <v>256</v>
      </c>
      <c r="B274" s="53">
        <v>3</v>
      </c>
      <c r="C274" s="53">
        <v>9</v>
      </c>
      <c r="D274" s="53">
        <v>12</v>
      </c>
      <c r="E274" s="58"/>
      <c r="F274" s="58"/>
      <c r="G274" s="53" t="s">
        <v>45</v>
      </c>
      <c r="H274" s="53">
        <v>1</v>
      </c>
      <c r="I274" s="53">
        <v>9074</v>
      </c>
      <c r="J274" s="53">
        <v>8</v>
      </c>
      <c r="K274" s="53" t="s">
        <v>31</v>
      </c>
      <c r="L274" s="53">
        <v>1</v>
      </c>
      <c r="M274" s="53"/>
      <c r="N274" s="53"/>
      <c r="O274" s="55">
        <v>8.74</v>
      </c>
      <c r="P274" s="55">
        <v>8.6999999999999993</v>
      </c>
      <c r="Q274" s="55">
        <f t="shared" si="11"/>
        <v>-4.0000000000000924E-2</v>
      </c>
      <c r="R274" s="55"/>
      <c r="S274" s="55" t="str">
        <f t="shared" si="13"/>
        <v/>
      </c>
      <c r="T274" s="12"/>
      <c r="U274" s="12"/>
      <c r="V274" s="12"/>
      <c r="W274" s="12"/>
      <c r="X274" s="53"/>
      <c r="Y274" s="53"/>
      <c r="Z274" s="54">
        <v>1</v>
      </c>
      <c r="AA274" s="54" t="s">
        <v>30</v>
      </c>
      <c r="AB274" s="56"/>
      <c r="AC274" s="53"/>
      <c r="AD274" s="59"/>
    </row>
    <row r="275" spans="1:30" s="57" customFormat="1" ht="20.25">
      <c r="A275" s="53">
        <v>257</v>
      </c>
      <c r="B275" s="53">
        <v>3</v>
      </c>
      <c r="C275" s="53">
        <v>9</v>
      </c>
      <c r="D275" s="53">
        <v>12</v>
      </c>
      <c r="E275" s="58"/>
      <c r="F275" s="58"/>
      <c r="G275" s="53" t="s">
        <v>45</v>
      </c>
      <c r="H275" s="53">
        <v>1</v>
      </c>
      <c r="I275" s="53">
        <v>9076</v>
      </c>
      <c r="J275" s="53">
        <v>6</v>
      </c>
      <c r="K275" s="53" t="s">
        <v>29</v>
      </c>
      <c r="L275" s="53">
        <v>1</v>
      </c>
      <c r="M275" s="53"/>
      <c r="N275" s="53"/>
      <c r="O275" s="55">
        <v>8.7799999999999994</v>
      </c>
      <c r="P275" s="55">
        <v>8.74</v>
      </c>
      <c r="Q275" s="55">
        <f t="shared" si="11"/>
        <v>-3.9999999999999147E-2</v>
      </c>
      <c r="R275" s="55"/>
      <c r="S275" s="55" t="str">
        <f t="shared" si="13"/>
        <v/>
      </c>
      <c r="T275" s="12"/>
      <c r="U275" s="12"/>
      <c r="V275" s="12"/>
      <c r="W275" s="12"/>
      <c r="X275" s="53"/>
      <c r="Y275" s="53"/>
      <c r="Z275" s="54">
        <v>1</v>
      </c>
      <c r="AA275" s="54"/>
      <c r="AB275" s="56"/>
      <c r="AC275" s="53"/>
      <c r="AD275" s="59"/>
    </row>
    <row r="276" spans="1:30" s="57" customFormat="1" ht="20.25">
      <c r="A276" s="53">
        <v>258</v>
      </c>
      <c r="B276" s="53">
        <v>3</v>
      </c>
      <c r="C276" s="53">
        <v>9</v>
      </c>
      <c r="D276" s="53">
        <v>12</v>
      </c>
      <c r="E276" s="58"/>
      <c r="F276" s="58"/>
      <c r="G276" s="53" t="s">
        <v>45</v>
      </c>
      <c r="H276" s="53">
        <v>1</v>
      </c>
      <c r="I276" s="53">
        <v>9077</v>
      </c>
      <c r="J276" s="53">
        <v>3</v>
      </c>
      <c r="K276" s="53" t="s">
        <v>31</v>
      </c>
      <c r="L276" s="53">
        <v>1</v>
      </c>
      <c r="M276" s="53"/>
      <c r="N276" s="53"/>
      <c r="O276" s="55">
        <v>9.66</v>
      </c>
      <c r="P276" s="55">
        <v>9.64</v>
      </c>
      <c r="Q276" s="55">
        <f t="shared" si="11"/>
        <v>-1.9999999999999574E-2</v>
      </c>
      <c r="R276" s="55"/>
      <c r="S276" s="55" t="str">
        <f t="shared" si="13"/>
        <v/>
      </c>
      <c r="T276" s="12"/>
      <c r="U276" s="12"/>
      <c r="V276" s="12"/>
      <c r="W276" s="12"/>
      <c r="X276" s="53"/>
      <c r="Y276" s="53"/>
      <c r="Z276" s="54">
        <v>1</v>
      </c>
      <c r="AA276" s="54"/>
      <c r="AB276" s="56"/>
      <c r="AC276" s="53"/>
      <c r="AD276" s="59"/>
    </row>
    <row r="277" spans="1:30" s="57" customFormat="1" ht="20.25">
      <c r="A277" s="53">
        <v>259</v>
      </c>
      <c r="B277" s="53">
        <v>3</v>
      </c>
      <c r="C277" s="53">
        <v>9</v>
      </c>
      <c r="D277" s="53">
        <v>12</v>
      </c>
      <c r="E277" s="58"/>
      <c r="F277" s="58"/>
      <c r="G277" s="53" t="s">
        <v>45</v>
      </c>
      <c r="H277" s="53">
        <v>1</v>
      </c>
      <c r="I277" s="53">
        <v>9078</v>
      </c>
      <c r="J277" s="53">
        <v>9</v>
      </c>
      <c r="K277" s="53" t="s">
        <v>29</v>
      </c>
      <c r="L277" s="53">
        <v>1</v>
      </c>
      <c r="M277" s="53"/>
      <c r="N277" s="53"/>
      <c r="O277" s="55">
        <v>8.26</v>
      </c>
      <c r="P277" s="55">
        <v>8.2200000000000006</v>
      </c>
      <c r="Q277" s="55">
        <f t="shared" si="11"/>
        <v>-3.9999999999999147E-2</v>
      </c>
      <c r="R277" s="55"/>
      <c r="S277" s="55" t="str">
        <f t="shared" si="13"/>
        <v/>
      </c>
      <c r="T277" s="12"/>
      <c r="U277" s="12"/>
      <c r="V277" s="12"/>
      <c r="W277" s="12"/>
      <c r="X277" s="53"/>
      <c r="Y277" s="53"/>
      <c r="Z277" s="54">
        <v>1</v>
      </c>
      <c r="AA277" s="54"/>
      <c r="AB277" s="56"/>
      <c r="AC277" s="53"/>
      <c r="AD277" s="59"/>
    </row>
    <row r="278" spans="1:30" s="57" customFormat="1" ht="20.25">
      <c r="A278" s="53">
        <v>260</v>
      </c>
      <c r="B278" s="53">
        <v>3</v>
      </c>
      <c r="C278" s="53">
        <v>9</v>
      </c>
      <c r="D278" s="53">
        <v>12</v>
      </c>
      <c r="E278" s="58"/>
      <c r="F278" s="58"/>
      <c r="G278" s="53" t="s">
        <v>45</v>
      </c>
      <c r="H278" s="53">
        <v>1</v>
      </c>
      <c r="I278" s="53">
        <v>9078</v>
      </c>
      <c r="J278" s="53">
        <v>10</v>
      </c>
      <c r="K278" s="53" t="s">
        <v>31</v>
      </c>
      <c r="L278" s="53">
        <v>1</v>
      </c>
      <c r="M278" s="53"/>
      <c r="N278" s="53"/>
      <c r="O278" s="55">
        <v>8.75</v>
      </c>
      <c r="P278" s="55">
        <v>8.7100000000000009</v>
      </c>
      <c r="Q278" s="55">
        <f t="shared" si="11"/>
        <v>-3.9999999999999147E-2</v>
      </c>
      <c r="R278" s="55"/>
      <c r="S278" s="55" t="str">
        <f t="shared" si="13"/>
        <v/>
      </c>
      <c r="T278" s="12"/>
      <c r="U278" s="12"/>
      <c r="V278" s="12"/>
      <c r="W278" s="12"/>
      <c r="X278" s="53"/>
      <c r="Y278" s="53"/>
      <c r="Z278" s="54">
        <v>1</v>
      </c>
      <c r="AA278" s="54" t="s">
        <v>30</v>
      </c>
      <c r="AB278" s="56"/>
      <c r="AC278" s="53"/>
      <c r="AD278" s="59"/>
    </row>
    <row r="279" spans="1:30" s="57" customFormat="1" ht="20.25">
      <c r="A279" s="53">
        <v>261</v>
      </c>
      <c r="B279" s="53">
        <v>3</v>
      </c>
      <c r="C279" s="53">
        <v>9</v>
      </c>
      <c r="D279" s="53">
        <v>12</v>
      </c>
      <c r="E279" s="58"/>
      <c r="F279" s="58"/>
      <c r="G279" s="53" t="s">
        <v>45</v>
      </c>
      <c r="H279" s="53">
        <v>1</v>
      </c>
      <c r="I279" s="53">
        <v>9079</v>
      </c>
      <c r="J279" s="53">
        <v>7</v>
      </c>
      <c r="K279" s="53" t="s">
        <v>31</v>
      </c>
      <c r="L279" s="53">
        <v>1</v>
      </c>
      <c r="M279" s="53"/>
      <c r="N279" s="53"/>
      <c r="O279" s="55">
        <v>12.54</v>
      </c>
      <c r="P279" s="55">
        <v>12.5</v>
      </c>
      <c r="Q279" s="55">
        <f t="shared" si="11"/>
        <v>-3.9999999999999147E-2</v>
      </c>
      <c r="R279" s="55"/>
      <c r="S279" s="55" t="str">
        <f t="shared" si="13"/>
        <v/>
      </c>
      <c r="T279" s="12"/>
      <c r="U279" s="12"/>
      <c r="V279" s="12"/>
      <c r="W279" s="12"/>
      <c r="X279" s="53"/>
      <c r="Y279" s="53"/>
      <c r="Z279" s="54">
        <v>1</v>
      </c>
      <c r="AA279" s="54"/>
      <c r="AB279" s="56"/>
      <c r="AC279" s="53"/>
      <c r="AD279" s="59"/>
    </row>
    <row r="280" spans="1:30" s="57" customFormat="1" ht="20.25">
      <c r="A280" s="53">
        <v>262</v>
      </c>
      <c r="B280" s="53">
        <v>3</v>
      </c>
      <c r="C280" s="53">
        <v>9</v>
      </c>
      <c r="D280" s="53">
        <v>12</v>
      </c>
      <c r="E280" s="58"/>
      <c r="F280" s="58"/>
      <c r="G280" s="53" t="s">
        <v>45</v>
      </c>
      <c r="H280" s="53">
        <v>2</v>
      </c>
      <c r="I280" s="53">
        <v>9079</v>
      </c>
      <c r="J280" s="53">
        <v>8</v>
      </c>
      <c r="K280" s="53" t="s">
        <v>31</v>
      </c>
      <c r="L280" s="53">
        <v>1</v>
      </c>
      <c r="M280" s="53"/>
      <c r="N280" s="53"/>
      <c r="O280" s="55">
        <v>12.54</v>
      </c>
      <c r="P280" s="55">
        <v>12.5</v>
      </c>
      <c r="Q280" s="55">
        <f t="shared" si="11"/>
        <v>-3.9999999999999147E-2</v>
      </c>
      <c r="R280" s="55"/>
      <c r="S280" s="55" t="str">
        <f t="shared" si="13"/>
        <v/>
      </c>
      <c r="T280" s="12"/>
      <c r="U280" s="12"/>
      <c r="V280" s="12"/>
      <c r="W280" s="12"/>
      <c r="X280" s="53"/>
      <c r="Y280" s="53"/>
      <c r="Z280" s="54" t="s">
        <v>30</v>
      </c>
      <c r="AA280" s="54">
        <v>1</v>
      </c>
      <c r="AB280" s="56"/>
      <c r="AC280" s="53"/>
      <c r="AD280" s="59"/>
    </row>
    <row r="281" spans="1:30" s="57" customFormat="1" ht="20.25">
      <c r="A281" s="53">
        <v>263</v>
      </c>
      <c r="B281" s="53">
        <v>3</v>
      </c>
      <c r="C281" s="53">
        <v>9</v>
      </c>
      <c r="D281" s="53">
        <v>12</v>
      </c>
      <c r="E281" s="58"/>
      <c r="F281" s="58"/>
      <c r="G281" s="53" t="s">
        <v>45</v>
      </c>
      <c r="H281" s="53">
        <v>1</v>
      </c>
      <c r="I281" s="53">
        <v>9079</v>
      </c>
      <c r="J281" s="53">
        <v>8</v>
      </c>
      <c r="K281" s="53" t="s">
        <v>31</v>
      </c>
      <c r="L281" s="53">
        <v>1</v>
      </c>
      <c r="M281" s="53"/>
      <c r="N281" s="53"/>
      <c r="O281" s="55">
        <v>12.54</v>
      </c>
      <c r="P281" s="55">
        <v>12.5</v>
      </c>
      <c r="Q281" s="55">
        <f t="shared" si="11"/>
        <v>-3.9999999999999147E-2</v>
      </c>
      <c r="R281" s="55"/>
      <c r="S281" s="55" t="str">
        <f t="shared" si="13"/>
        <v/>
      </c>
      <c r="T281" s="12"/>
      <c r="U281" s="12"/>
      <c r="V281" s="12"/>
      <c r="W281" s="12"/>
      <c r="X281" s="53"/>
      <c r="Y281" s="53"/>
      <c r="Z281" s="54"/>
      <c r="AA281" s="54">
        <v>1</v>
      </c>
      <c r="AB281" s="56"/>
      <c r="AC281" s="53"/>
      <c r="AD281" s="59"/>
    </row>
    <row r="282" spans="1:30" s="57" customFormat="1" ht="20.25">
      <c r="A282" s="53">
        <v>264</v>
      </c>
      <c r="B282" s="53">
        <v>3</v>
      </c>
      <c r="C282" s="53">
        <v>9</v>
      </c>
      <c r="D282" s="53">
        <v>12</v>
      </c>
      <c r="E282" s="58"/>
      <c r="F282" s="58"/>
      <c r="G282" s="53" t="s">
        <v>45</v>
      </c>
      <c r="H282" s="53">
        <v>1</v>
      </c>
      <c r="I282" s="53">
        <v>9079</v>
      </c>
      <c r="J282" s="53">
        <v>8</v>
      </c>
      <c r="K282" s="53" t="s">
        <v>29</v>
      </c>
      <c r="L282" s="53">
        <v>1</v>
      </c>
      <c r="M282" s="53"/>
      <c r="N282" s="53"/>
      <c r="O282" s="55">
        <v>12.5</v>
      </c>
      <c r="P282" s="55">
        <v>12.45</v>
      </c>
      <c r="Q282" s="55">
        <f t="shared" si="11"/>
        <v>-5.0000000000000711E-2</v>
      </c>
      <c r="R282" s="55"/>
      <c r="S282" s="55" t="str">
        <f t="shared" si="13"/>
        <v/>
      </c>
      <c r="T282" s="12"/>
      <c r="U282" s="12"/>
      <c r="V282" s="12"/>
      <c r="W282" s="12"/>
      <c r="X282" s="53"/>
      <c r="Y282" s="53"/>
      <c r="Z282" s="54" t="s">
        <v>30</v>
      </c>
      <c r="AA282" s="54">
        <v>1</v>
      </c>
      <c r="AB282" s="56"/>
      <c r="AC282" s="53"/>
      <c r="AD282" s="59"/>
    </row>
    <row r="283" spans="1:30" s="57" customFormat="1" ht="20.25">
      <c r="A283" s="53">
        <v>265</v>
      </c>
      <c r="B283" s="53">
        <v>3</v>
      </c>
      <c r="C283" s="53">
        <v>9</v>
      </c>
      <c r="D283" s="53">
        <v>12</v>
      </c>
      <c r="E283" s="58"/>
      <c r="F283" s="58"/>
      <c r="G283" s="53" t="s">
        <v>45</v>
      </c>
      <c r="H283" s="53">
        <v>2</v>
      </c>
      <c r="I283" s="53">
        <v>9079</v>
      </c>
      <c r="J283" s="53">
        <v>10</v>
      </c>
      <c r="K283" s="53" t="s">
        <v>31</v>
      </c>
      <c r="L283" s="53">
        <v>1</v>
      </c>
      <c r="M283" s="53"/>
      <c r="N283" s="53"/>
      <c r="O283" s="55">
        <v>12.54</v>
      </c>
      <c r="P283" s="55">
        <v>12.5</v>
      </c>
      <c r="Q283" s="55">
        <f t="shared" si="11"/>
        <v>-3.9999999999999147E-2</v>
      </c>
      <c r="R283" s="55"/>
      <c r="S283" s="55" t="str">
        <f t="shared" si="13"/>
        <v/>
      </c>
      <c r="T283" s="12"/>
      <c r="U283" s="12"/>
      <c r="V283" s="12"/>
      <c r="W283" s="12"/>
      <c r="X283" s="53"/>
      <c r="Y283" s="53"/>
      <c r="Z283" s="54"/>
      <c r="AA283" s="54">
        <v>1</v>
      </c>
      <c r="AB283" s="56"/>
      <c r="AC283" s="53"/>
      <c r="AD283" s="59"/>
    </row>
    <row r="284" spans="1:30" s="57" customFormat="1" ht="20.25">
      <c r="A284" s="53">
        <v>266</v>
      </c>
      <c r="B284" s="53">
        <v>3</v>
      </c>
      <c r="C284" s="53">
        <v>9</v>
      </c>
      <c r="D284" s="53">
        <v>12</v>
      </c>
      <c r="E284" s="58"/>
      <c r="F284" s="58"/>
      <c r="G284" s="53" t="s">
        <v>45</v>
      </c>
      <c r="H284" s="53">
        <v>2</v>
      </c>
      <c r="I284" s="53">
        <v>9079</v>
      </c>
      <c r="J284" s="53">
        <v>10</v>
      </c>
      <c r="K284" s="53" t="s">
        <v>29</v>
      </c>
      <c r="L284" s="53">
        <v>1</v>
      </c>
      <c r="M284" s="53"/>
      <c r="N284" s="53"/>
      <c r="O284" s="55">
        <v>12.54</v>
      </c>
      <c r="P284" s="55">
        <v>12.5</v>
      </c>
      <c r="Q284" s="55">
        <f t="shared" si="11"/>
        <v>-3.9999999999999147E-2</v>
      </c>
      <c r="R284" s="55"/>
      <c r="S284" s="55" t="str">
        <f t="shared" si="13"/>
        <v/>
      </c>
      <c r="T284" s="12"/>
      <c r="U284" s="12"/>
      <c r="V284" s="12"/>
      <c r="W284" s="12"/>
      <c r="X284" s="53"/>
      <c r="Y284" s="53"/>
      <c r="Z284" s="54"/>
      <c r="AA284" s="54">
        <v>1</v>
      </c>
      <c r="AB284" s="56"/>
      <c r="AC284" s="53"/>
      <c r="AD284" s="59"/>
    </row>
    <row r="285" spans="1:30" s="57" customFormat="1" ht="20.25">
      <c r="A285" s="53">
        <v>267</v>
      </c>
      <c r="B285" s="53">
        <v>3</v>
      </c>
      <c r="C285" s="53">
        <v>9</v>
      </c>
      <c r="D285" s="53">
        <v>12</v>
      </c>
      <c r="E285" s="58"/>
      <c r="F285" s="58"/>
      <c r="G285" s="53" t="s">
        <v>45</v>
      </c>
      <c r="H285" s="53">
        <v>1</v>
      </c>
      <c r="I285" s="53">
        <v>9079</v>
      </c>
      <c r="J285" s="53">
        <v>10</v>
      </c>
      <c r="K285" s="53" t="s">
        <v>31</v>
      </c>
      <c r="L285" s="53">
        <v>1</v>
      </c>
      <c r="M285" s="53"/>
      <c r="N285" s="53"/>
      <c r="O285" s="55">
        <v>12.54</v>
      </c>
      <c r="P285" s="55">
        <v>12.5</v>
      </c>
      <c r="Q285" s="55">
        <f t="shared" si="11"/>
        <v>-3.9999999999999147E-2</v>
      </c>
      <c r="R285" s="55"/>
      <c r="S285" s="55" t="str">
        <f t="shared" si="13"/>
        <v/>
      </c>
      <c r="T285" s="12"/>
      <c r="U285" s="12"/>
      <c r="V285" s="12"/>
      <c r="W285" s="12"/>
      <c r="X285" s="53"/>
      <c r="Y285" s="53"/>
      <c r="Z285" s="54"/>
      <c r="AA285" s="54">
        <v>1</v>
      </c>
      <c r="AB285" s="56"/>
      <c r="AC285" s="53"/>
      <c r="AD285" s="59"/>
    </row>
    <row r="286" spans="1:30" s="57" customFormat="1" ht="20.25">
      <c r="A286" s="53">
        <v>268</v>
      </c>
      <c r="B286" s="53">
        <v>3</v>
      </c>
      <c r="C286" s="53">
        <v>9</v>
      </c>
      <c r="D286" s="53">
        <v>12</v>
      </c>
      <c r="E286" s="58"/>
      <c r="F286" s="58"/>
      <c r="G286" s="53" t="s">
        <v>45</v>
      </c>
      <c r="H286" s="53">
        <v>1</v>
      </c>
      <c r="I286" s="53">
        <v>9079</v>
      </c>
      <c r="J286" s="53">
        <v>10</v>
      </c>
      <c r="K286" s="53" t="s">
        <v>29</v>
      </c>
      <c r="L286" s="53">
        <v>1</v>
      </c>
      <c r="M286" s="53"/>
      <c r="N286" s="53"/>
      <c r="O286" s="61">
        <v>12.54</v>
      </c>
      <c r="P286" s="61">
        <v>12.5</v>
      </c>
      <c r="Q286" s="55">
        <f t="shared" si="11"/>
        <v>-3.9999999999999147E-2</v>
      </c>
      <c r="R286" s="55"/>
      <c r="S286" s="55" t="str">
        <f t="shared" si="13"/>
        <v/>
      </c>
      <c r="T286" s="12"/>
      <c r="U286" s="12"/>
      <c r="V286" s="12"/>
      <c r="W286" s="12"/>
      <c r="X286" s="53"/>
      <c r="Y286" s="53"/>
      <c r="Z286" s="61"/>
      <c r="AA286" s="54">
        <v>1</v>
      </c>
      <c r="AB286" s="61"/>
      <c r="AC286" s="53"/>
      <c r="AD286" s="62"/>
    </row>
    <row r="287" spans="1:30" s="57" customFormat="1" ht="20.25">
      <c r="A287" s="53">
        <v>269</v>
      </c>
      <c r="B287" s="53">
        <v>3</v>
      </c>
      <c r="C287" s="53">
        <v>9</v>
      </c>
      <c r="D287" s="53">
        <v>12</v>
      </c>
      <c r="E287" s="58"/>
      <c r="F287" s="58"/>
      <c r="G287" s="53" t="s">
        <v>45</v>
      </c>
      <c r="H287" s="53">
        <v>1</v>
      </c>
      <c r="I287" s="53">
        <v>9080</v>
      </c>
      <c r="J287" s="53">
        <v>8</v>
      </c>
      <c r="K287" s="53" t="s">
        <v>29</v>
      </c>
      <c r="L287" s="53">
        <v>1</v>
      </c>
      <c r="M287" s="53"/>
      <c r="N287" s="53"/>
      <c r="O287" s="61">
        <v>9.93</v>
      </c>
      <c r="P287" s="61">
        <v>9.9</v>
      </c>
      <c r="Q287" s="55">
        <f t="shared" si="11"/>
        <v>-2.9999999999999361E-2</v>
      </c>
      <c r="R287" s="61"/>
      <c r="S287" s="55" t="str">
        <f t="shared" si="13"/>
        <v/>
      </c>
      <c r="T287" s="61"/>
      <c r="U287" s="61"/>
      <c r="V287" s="61"/>
      <c r="W287" s="61"/>
      <c r="X287" s="61"/>
      <c r="Y287" s="61"/>
      <c r="Z287" s="54">
        <v>1</v>
      </c>
      <c r="AA287" s="54"/>
      <c r="AB287" s="61"/>
      <c r="AC287" s="61"/>
      <c r="AD287" s="62"/>
    </row>
    <row r="288" spans="1:30" s="57" customFormat="1" ht="20.25">
      <c r="A288" s="53">
        <v>270</v>
      </c>
      <c r="B288" s="53">
        <v>3</v>
      </c>
      <c r="C288" s="53">
        <v>9</v>
      </c>
      <c r="D288" s="53">
        <v>12</v>
      </c>
      <c r="E288" s="58"/>
      <c r="F288" s="58"/>
      <c r="G288" s="53" t="s">
        <v>45</v>
      </c>
      <c r="H288" s="53">
        <v>1</v>
      </c>
      <c r="I288" s="53">
        <v>9080</v>
      </c>
      <c r="J288" s="53">
        <v>9</v>
      </c>
      <c r="K288" s="53" t="s">
        <v>29</v>
      </c>
      <c r="L288" s="53">
        <v>1</v>
      </c>
      <c r="M288" s="53"/>
      <c r="N288" s="53"/>
      <c r="O288" s="61">
        <v>8.75</v>
      </c>
      <c r="P288" s="61">
        <v>8.7200000000000006</v>
      </c>
      <c r="Q288" s="55">
        <f t="shared" si="11"/>
        <v>-2.9999999999999361E-2</v>
      </c>
      <c r="R288" s="61"/>
      <c r="S288" s="55" t="str">
        <f t="shared" si="13"/>
        <v/>
      </c>
      <c r="T288" s="61"/>
      <c r="U288" s="61"/>
      <c r="V288" s="61"/>
      <c r="W288" s="61"/>
      <c r="X288" s="61"/>
      <c r="Y288" s="61"/>
      <c r="Z288" s="54">
        <v>1</v>
      </c>
      <c r="AA288" s="54"/>
      <c r="AB288" s="61"/>
      <c r="AC288" s="61"/>
      <c r="AD288" s="62"/>
    </row>
    <row r="289" spans="1:30" s="57" customFormat="1" ht="20.25">
      <c r="A289" s="53">
        <v>271</v>
      </c>
      <c r="B289" s="53">
        <v>3</v>
      </c>
      <c r="C289" s="53">
        <v>9</v>
      </c>
      <c r="D289" s="53">
        <v>12</v>
      </c>
      <c r="E289" s="58"/>
      <c r="F289" s="58"/>
      <c r="G289" s="53" t="s">
        <v>45</v>
      </c>
      <c r="H289" s="53">
        <v>1</v>
      </c>
      <c r="I289" s="53">
        <v>9081</v>
      </c>
      <c r="J289" s="53">
        <v>10</v>
      </c>
      <c r="K289" s="53" t="s">
        <v>29</v>
      </c>
      <c r="L289" s="53">
        <v>1</v>
      </c>
      <c r="M289" s="53"/>
      <c r="N289" s="53"/>
      <c r="O289" s="55">
        <v>8.52</v>
      </c>
      <c r="P289" s="55">
        <v>8.48</v>
      </c>
      <c r="Q289" s="55">
        <f t="shared" si="11"/>
        <v>-3.9999999999999147E-2</v>
      </c>
      <c r="R289" s="55"/>
      <c r="S289" s="55" t="str">
        <f t="shared" si="13"/>
        <v/>
      </c>
      <c r="T289" s="12"/>
      <c r="U289" s="12"/>
      <c r="V289" s="12"/>
      <c r="W289" s="12"/>
      <c r="X289" s="53"/>
      <c r="Y289" s="53"/>
      <c r="Z289" s="54">
        <v>1</v>
      </c>
      <c r="AA289" s="54"/>
      <c r="AB289" s="56"/>
      <c r="AC289" s="53"/>
      <c r="AD289" s="59"/>
    </row>
    <row r="290" spans="1:30" s="57" customFormat="1" ht="20.25">
      <c r="A290" s="53">
        <v>272</v>
      </c>
      <c r="B290" s="53">
        <v>3</v>
      </c>
      <c r="C290" s="53">
        <v>9</v>
      </c>
      <c r="D290" s="53">
        <v>13</v>
      </c>
      <c r="E290" s="58"/>
      <c r="F290" s="58"/>
      <c r="G290" s="53" t="s">
        <v>45</v>
      </c>
      <c r="H290" s="53">
        <v>2</v>
      </c>
      <c r="I290" s="53">
        <v>9084</v>
      </c>
      <c r="J290" s="53">
        <v>10</v>
      </c>
      <c r="K290" s="53" t="s">
        <v>29</v>
      </c>
      <c r="L290" s="53">
        <v>1</v>
      </c>
      <c r="M290" s="53"/>
      <c r="N290" s="53"/>
      <c r="O290" s="55">
        <v>8.1999999999999993</v>
      </c>
      <c r="P290" s="55">
        <v>8.17</v>
      </c>
      <c r="Q290" s="55" t="s">
        <v>65</v>
      </c>
      <c r="R290" s="55"/>
      <c r="S290" s="55" t="str">
        <f t="shared" si="13"/>
        <v/>
      </c>
      <c r="T290" s="12"/>
      <c r="U290" s="12"/>
      <c r="V290" s="12"/>
      <c r="W290" s="12"/>
      <c r="X290" s="53"/>
      <c r="Y290" s="53"/>
      <c r="Z290" s="54">
        <v>1</v>
      </c>
      <c r="AA290" s="54"/>
      <c r="AB290" s="56"/>
      <c r="AC290" s="53"/>
      <c r="AD290" s="59"/>
    </row>
    <row r="291" spans="1:30" s="57" customFormat="1" ht="20.25">
      <c r="A291" s="53">
        <v>273</v>
      </c>
      <c r="B291" s="53">
        <v>3</v>
      </c>
      <c r="C291" s="53">
        <v>9</v>
      </c>
      <c r="D291" s="53">
        <v>13</v>
      </c>
      <c r="E291" s="58"/>
      <c r="F291" s="58"/>
      <c r="G291" s="53" t="s">
        <v>45</v>
      </c>
      <c r="H291" s="53">
        <v>2</v>
      </c>
      <c r="I291" s="53">
        <v>9085</v>
      </c>
      <c r="J291" s="53">
        <v>8</v>
      </c>
      <c r="K291" s="53" t="s">
        <v>29</v>
      </c>
      <c r="L291" s="53">
        <v>1</v>
      </c>
      <c r="M291" s="53"/>
      <c r="N291" s="53"/>
      <c r="O291" s="55">
        <v>8.23</v>
      </c>
      <c r="P291" s="55">
        <v>8.1999999999999993</v>
      </c>
      <c r="Q291" s="55">
        <f t="shared" ref="Q291:Q321" si="14">P291-O291</f>
        <v>-3.0000000000001137E-2</v>
      </c>
      <c r="R291" s="55"/>
      <c r="S291" s="55" t="str">
        <f t="shared" si="13"/>
        <v/>
      </c>
      <c r="T291" s="12"/>
      <c r="U291" s="12"/>
      <c r="V291" s="12"/>
      <c r="W291" s="12"/>
      <c r="X291" s="53"/>
      <c r="Y291" s="53"/>
      <c r="Z291" s="54">
        <v>1</v>
      </c>
      <c r="AA291" s="54"/>
      <c r="AB291" s="56"/>
      <c r="AC291" s="53"/>
      <c r="AD291" s="59"/>
    </row>
    <row r="292" spans="1:30" s="57" customFormat="1" ht="20.25">
      <c r="A292" s="53">
        <v>274</v>
      </c>
      <c r="B292" s="53">
        <v>3</v>
      </c>
      <c r="C292" s="53">
        <v>9</v>
      </c>
      <c r="D292" s="53">
        <v>13</v>
      </c>
      <c r="E292" s="58"/>
      <c r="F292" s="58"/>
      <c r="G292" s="53" t="s">
        <v>45</v>
      </c>
      <c r="H292" s="53">
        <v>2</v>
      </c>
      <c r="I292" s="53">
        <v>9085</v>
      </c>
      <c r="J292" s="53">
        <v>8</v>
      </c>
      <c r="K292" s="53" t="s">
        <v>29</v>
      </c>
      <c r="L292" s="53">
        <v>1</v>
      </c>
      <c r="M292" s="53">
        <v>1</v>
      </c>
      <c r="N292" s="53"/>
      <c r="O292" s="55">
        <v>8.23</v>
      </c>
      <c r="P292" s="55">
        <v>8.1999999999999993</v>
      </c>
      <c r="Q292" s="55">
        <f t="shared" si="14"/>
        <v>-3.0000000000001137E-2</v>
      </c>
      <c r="R292" s="55"/>
      <c r="S292" s="55" t="str">
        <f t="shared" si="13"/>
        <v/>
      </c>
      <c r="T292" s="12"/>
      <c r="U292" s="12"/>
      <c r="V292" s="12"/>
      <c r="W292" s="12"/>
      <c r="X292" s="53"/>
      <c r="Y292" s="53"/>
      <c r="Z292" s="54">
        <v>1</v>
      </c>
      <c r="AA292" s="54"/>
      <c r="AB292" s="56"/>
      <c r="AC292" s="53"/>
      <c r="AD292" s="59"/>
    </row>
    <row r="293" spans="1:30" s="57" customFormat="1" ht="20.25">
      <c r="A293" s="53">
        <v>275</v>
      </c>
      <c r="B293" s="53">
        <v>3</v>
      </c>
      <c r="C293" s="53">
        <v>9</v>
      </c>
      <c r="D293" s="53">
        <v>13</v>
      </c>
      <c r="E293" s="58"/>
      <c r="F293" s="58"/>
      <c r="G293" s="53" t="s">
        <v>45</v>
      </c>
      <c r="H293" s="53">
        <v>1</v>
      </c>
      <c r="I293" s="53">
        <v>9086</v>
      </c>
      <c r="J293" s="53">
        <v>4</v>
      </c>
      <c r="K293" s="53" t="s">
        <v>29</v>
      </c>
      <c r="L293" s="53">
        <v>1</v>
      </c>
      <c r="M293" s="53"/>
      <c r="N293" s="53"/>
      <c r="O293" s="55">
        <v>8.59</v>
      </c>
      <c r="P293" s="55">
        <v>8.56</v>
      </c>
      <c r="Q293" s="55" t="s">
        <v>65</v>
      </c>
      <c r="R293" s="55"/>
      <c r="S293" s="55" t="str">
        <f t="shared" si="13"/>
        <v/>
      </c>
      <c r="T293" s="12"/>
      <c r="U293" s="12"/>
      <c r="V293" s="12"/>
      <c r="W293" s="12"/>
      <c r="X293" s="53"/>
      <c r="Y293" s="53"/>
      <c r="Z293" s="54">
        <v>1</v>
      </c>
      <c r="AA293" s="54"/>
      <c r="AB293" s="56"/>
      <c r="AC293" s="53"/>
      <c r="AD293" s="59"/>
    </row>
    <row r="294" spans="1:30" s="57" customFormat="1" ht="20.25">
      <c r="A294" s="53">
        <v>276</v>
      </c>
      <c r="B294" s="53">
        <v>3</v>
      </c>
      <c r="C294" s="53">
        <v>9</v>
      </c>
      <c r="D294" s="53">
        <v>13</v>
      </c>
      <c r="E294" s="58"/>
      <c r="F294" s="58"/>
      <c r="G294" s="53" t="s">
        <v>45</v>
      </c>
      <c r="H294" s="53">
        <v>2</v>
      </c>
      <c r="I294" s="53">
        <v>9086</v>
      </c>
      <c r="J294" s="53">
        <v>10</v>
      </c>
      <c r="K294" s="53" t="s">
        <v>31</v>
      </c>
      <c r="L294" s="53">
        <v>1</v>
      </c>
      <c r="M294" s="53"/>
      <c r="N294" s="53"/>
      <c r="O294" s="55">
        <v>8.3000000000000007</v>
      </c>
      <c r="P294" s="55">
        <v>8.27</v>
      </c>
      <c r="Q294" s="55">
        <f t="shared" si="14"/>
        <v>-3.0000000000001137E-2</v>
      </c>
      <c r="R294" s="55"/>
      <c r="S294" s="55" t="str">
        <f t="shared" si="13"/>
        <v/>
      </c>
      <c r="T294" s="12"/>
      <c r="U294" s="12"/>
      <c r="V294" s="12"/>
      <c r="W294" s="12"/>
      <c r="X294" s="53"/>
      <c r="Y294" s="53"/>
      <c r="Z294" s="54">
        <v>1</v>
      </c>
      <c r="AA294" s="54"/>
      <c r="AB294" s="56"/>
      <c r="AC294" s="53"/>
      <c r="AD294" s="59"/>
    </row>
    <row r="295" spans="1:30" s="57" customFormat="1" ht="20.25">
      <c r="A295" s="53">
        <v>277</v>
      </c>
      <c r="B295" s="53">
        <v>3</v>
      </c>
      <c r="C295" s="53">
        <v>9</v>
      </c>
      <c r="D295" s="53">
        <v>13</v>
      </c>
      <c r="E295" s="58"/>
      <c r="F295" s="58"/>
      <c r="G295" s="53" t="s">
        <v>45</v>
      </c>
      <c r="H295" s="53">
        <v>2</v>
      </c>
      <c r="I295" s="53">
        <v>9087</v>
      </c>
      <c r="J295" s="53">
        <v>5</v>
      </c>
      <c r="K295" s="53" t="s">
        <v>29</v>
      </c>
      <c r="L295" s="53">
        <v>1</v>
      </c>
      <c r="M295" s="53"/>
      <c r="N295" s="53"/>
      <c r="O295" s="55">
        <v>10.45</v>
      </c>
      <c r="P295" s="55">
        <v>10.41</v>
      </c>
      <c r="Q295" s="55" t="s">
        <v>65</v>
      </c>
      <c r="R295" s="55"/>
      <c r="S295" s="55" t="str">
        <f t="shared" si="13"/>
        <v/>
      </c>
      <c r="T295" s="12"/>
      <c r="U295" s="12"/>
      <c r="V295" s="12"/>
      <c r="W295" s="12"/>
      <c r="X295" s="53"/>
      <c r="Y295" s="53"/>
      <c r="Z295" s="54">
        <v>1</v>
      </c>
      <c r="AA295" s="54"/>
      <c r="AB295" s="56"/>
      <c r="AC295" s="53"/>
      <c r="AD295" s="59"/>
    </row>
    <row r="296" spans="1:30" s="57" customFormat="1" ht="20.25">
      <c r="A296" s="53">
        <v>278</v>
      </c>
      <c r="B296" s="53">
        <v>3</v>
      </c>
      <c r="C296" s="53">
        <v>9</v>
      </c>
      <c r="D296" s="53">
        <v>13</v>
      </c>
      <c r="E296" s="58"/>
      <c r="F296" s="58"/>
      <c r="G296" s="53" t="s">
        <v>45</v>
      </c>
      <c r="H296" s="53">
        <v>2</v>
      </c>
      <c r="I296" s="53">
        <v>9087</v>
      </c>
      <c r="J296" s="53">
        <v>9</v>
      </c>
      <c r="K296" s="53" t="s">
        <v>31</v>
      </c>
      <c r="L296" s="53">
        <v>1</v>
      </c>
      <c r="M296" s="53"/>
      <c r="N296" s="53"/>
      <c r="O296" s="55">
        <v>8.2200000000000006</v>
      </c>
      <c r="P296" s="55">
        <v>8.19</v>
      </c>
      <c r="Q296" s="55">
        <f t="shared" si="14"/>
        <v>-3.0000000000001137E-2</v>
      </c>
      <c r="R296" s="55"/>
      <c r="S296" s="55" t="str">
        <f t="shared" si="13"/>
        <v/>
      </c>
      <c r="T296" s="12"/>
      <c r="U296" s="12"/>
      <c r="V296" s="12"/>
      <c r="W296" s="12"/>
      <c r="X296" s="53"/>
      <c r="Y296" s="53"/>
      <c r="Z296" s="54">
        <v>1</v>
      </c>
      <c r="AA296" s="54"/>
      <c r="AB296" s="56"/>
      <c r="AC296" s="53"/>
      <c r="AD296" s="59"/>
    </row>
    <row r="297" spans="1:30" s="57" customFormat="1" ht="20.25">
      <c r="A297" s="53">
        <v>279</v>
      </c>
      <c r="B297" s="53">
        <v>3</v>
      </c>
      <c r="C297" s="53">
        <v>9</v>
      </c>
      <c r="D297" s="53">
        <v>13</v>
      </c>
      <c r="E297" s="58"/>
      <c r="F297" s="58"/>
      <c r="G297" s="53" t="s">
        <v>45</v>
      </c>
      <c r="H297" s="53">
        <v>1</v>
      </c>
      <c r="I297" s="53">
        <v>9087</v>
      </c>
      <c r="J297" s="53">
        <v>10</v>
      </c>
      <c r="K297" s="53" t="s">
        <v>31</v>
      </c>
      <c r="L297" s="53">
        <v>1</v>
      </c>
      <c r="M297" s="53"/>
      <c r="N297" s="53"/>
      <c r="O297" s="55">
        <v>8.23</v>
      </c>
      <c r="P297" s="55">
        <v>8.1999999999999993</v>
      </c>
      <c r="Q297" s="55">
        <f t="shared" si="14"/>
        <v>-3.0000000000001137E-2</v>
      </c>
      <c r="R297" s="55"/>
      <c r="S297" s="55" t="str">
        <f t="shared" si="13"/>
        <v/>
      </c>
      <c r="T297" s="12"/>
      <c r="U297" s="12"/>
      <c r="V297" s="12"/>
      <c r="W297" s="12"/>
      <c r="X297" s="53"/>
      <c r="Y297" s="53"/>
      <c r="Z297" s="54">
        <v>1</v>
      </c>
      <c r="AA297" s="54"/>
      <c r="AB297" s="56"/>
      <c r="AC297" s="53"/>
      <c r="AD297" s="59"/>
    </row>
    <row r="298" spans="1:30" s="57" customFormat="1" ht="20.25">
      <c r="A298" s="53">
        <v>280</v>
      </c>
      <c r="B298" s="53">
        <v>3</v>
      </c>
      <c r="C298" s="53">
        <v>9</v>
      </c>
      <c r="D298" s="53">
        <v>13</v>
      </c>
      <c r="E298" s="58"/>
      <c r="F298" s="58"/>
      <c r="G298" s="53" t="s">
        <v>46</v>
      </c>
      <c r="H298" s="53">
        <v>2</v>
      </c>
      <c r="I298" s="53">
        <v>9090</v>
      </c>
      <c r="J298" s="53">
        <v>4</v>
      </c>
      <c r="K298" s="53" t="s">
        <v>29</v>
      </c>
      <c r="L298" s="53">
        <v>1</v>
      </c>
      <c r="M298" s="53"/>
      <c r="N298" s="53"/>
      <c r="O298" s="55">
        <v>12.58</v>
      </c>
      <c r="P298" s="55">
        <v>12.54</v>
      </c>
      <c r="Q298" s="55">
        <f t="shared" si="14"/>
        <v>-4.0000000000000924E-2</v>
      </c>
      <c r="R298" s="55"/>
      <c r="S298" s="55" t="str">
        <f t="shared" si="13"/>
        <v/>
      </c>
      <c r="T298" s="12"/>
      <c r="U298" s="12"/>
      <c r="V298" s="12"/>
      <c r="W298" s="12"/>
      <c r="X298" s="53"/>
      <c r="Y298" s="53"/>
      <c r="Z298" s="54" t="s">
        <v>30</v>
      </c>
      <c r="AA298" s="54">
        <v>1</v>
      </c>
      <c r="AB298" s="56"/>
      <c r="AC298" s="53"/>
      <c r="AD298" s="59"/>
    </row>
    <row r="299" spans="1:30" s="57" customFormat="1" ht="20.25" customHeight="1">
      <c r="A299" s="53">
        <v>281</v>
      </c>
      <c r="B299" s="53">
        <v>3</v>
      </c>
      <c r="C299" s="53">
        <v>9</v>
      </c>
      <c r="D299" s="53">
        <v>13</v>
      </c>
      <c r="E299" s="58"/>
      <c r="F299" s="58"/>
      <c r="G299" s="53" t="s">
        <v>46</v>
      </c>
      <c r="H299" s="53">
        <v>2</v>
      </c>
      <c r="I299" s="53">
        <v>9091</v>
      </c>
      <c r="J299" s="53">
        <v>5</v>
      </c>
      <c r="K299" s="53" t="s">
        <v>31</v>
      </c>
      <c r="L299" s="53">
        <v>1</v>
      </c>
      <c r="M299" s="53"/>
      <c r="N299" s="53"/>
      <c r="O299" s="55">
        <v>12.54</v>
      </c>
      <c r="P299" s="55">
        <v>12.5</v>
      </c>
      <c r="Q299" s="55">
        <f t="shared" si="14"/>
        <v>-3.9999999999999147E-2</v>
      </c>
      <c r="R299" s="55"/>
      <c r="S299" s="55" t="str">
        <f t="shared" si="13"/>
        <v/>
      </c>
      <c r="T299" s="12"/>
      <c r="U299" s="12"/>
      <c r="V299" s="12"/>
      <c r="W299" s="12"/>
      <c r="X299" s="53"/>
      <c r="Y299" s="53"/>
      <c r="Z299" s="54" t="s">
        <v>30</v>
      </c>
      <c r="AA299" s="54">
        <v>1</v>
      </c>
      <c r="AB299" s="56"/>
      <c r="AC299" s="53"/>
      <c r="AD299" s="59"/>
    </row>
    <row r="300" spans="1:30" s="57" customFormat="1" ht="20.25">
      <c r="A300" s="53">
        <v>282</v>
      </c>
      <c r="B300" s="53">
        <v>3</v>
      </c>
      <c r="C300" s="53">
        <v>9</v>
      </c>
      <c r="D300" s="53">
        <v>13</v>
      </c>
      <c r="E300" s="58"/>
      <c r="F300" s="58"/>
      <c r="G300" s="53" t="s">
        <v>46</v>
      </c>
      <c r="H300" s="53">
        <v>2</v>
      </c>
      <c r="I300" s="53">
        <v>9091</v>
      </c>
      <c r="J300" s="53">
        <v>5</v>
      </c>
      <c r="K300" s="53" t="s">
        <v>29</v>
      </c>
      <c r="L300" s="53">
        <v>1</v>
      </c>
      <c r="M300" s="53"/>
      <c r="N300" s="53"/>
      <c r="O300" s="55">
        <v>12.54</v>
      </c>
      <c r="P300" s="55">
        <v>12.5</v>
      </c>
      <c r="Q300" s="55">
        <f t="shared" si="14"/>
        <v>-3.9999999999999147E-2</v>
      </c>
      <c r="R300" s="55"/>
      <c r="S300" s="55" t="str">
        <f t="shared" si="13"/>
        <v/>
      </c>
      <c r="T300" s="12"/>
      <c r="U300" s="12"/>
      <c r="V300" s="12"/>
      <c r="W300" s="12"/>
      <c r="X300" s="53"/>
      <c r="Y300" s="53"/>
      <c r="Z300" s="54" t="s">
        <v>30</v>
      </c>
      <c r="AA300" s="54">
        <v>1</v>
      </c>
      <c r="AB300" s="56"/>
      <c r="AC300" s="53"/>
      <c r="AD300" s="59"/>
    </row>
    <row r="301" spans="1:30" s="57" customFormat="1" ht="20.25">
      <c r="A301" s="53">
        <v>283</v>
      </c>
      <c r="B301" s="53">
        <v>3</v>
      </c>
      <c r="C301" s="53">
        <v>9</v>
      </c>
      <c r="D301" s="53">
        <v>13</v>
      </c>
      <c r="E301" s="58"/>
      <c r="F301" s="58"/>
      <c r="G301" s="53" t="s">
        <v>46</v>
      </c>
      <c r="H301" s="53">
        <v>2</v>
      </c>
      <c r="I301" s="53">
        <v>9091</v>
      </c>
      <c r="J301" s="53">
        <v>7</v>
      </c>
      <c r="K301" s="53" t="s">
        <v>31</v>
      </c>
      <c r="L301" s="53">
        <v>1</v>
      </c>
      <c r="M301" s="53"/>
      <c r="N301" s="53"/>
      <c r="O301" s="55">
        <v>12.54</v>
      </c>
      <c r="P301" s="55">
        <v>12.5</v>
      </c>
      <c r="Q301" s="55">
        <f t="shared" si="14"/>
        <v>-3.9999999999999147E-2</v>
      </c>
      <c r="R301" s="55"/>
      <c r="S301" s="55" t="str">
        <f t="shared" si="13"/>
        <v/>
      </c>
      <c r="T301" s="12"/>
      <c r="U301" s="12"/>
      <c r="V301" s="12"/>
      <c r="W301" s="12"/>
      <c r="X301" s="53"/>
      <c r="Y301" s="53"/>
      <c r="Z301" s="54" t="s">
        <v>30</v>
      </c>
      <c r="AA301" s="54">
        <v>1</v>
      </c>
      <c r="AB301" s="56"/>
      <c r="AC301" s="53"/>
      <c r="AD301" s="59"/>
    </row>
    <row r="302" spans="1:30" s="57" customFormat="1" ht="20.25">
      <c r="A302" s="53">
        <v>284</v>
      </c>
      <c r="B302" s="53">
        <v>3</v>
      </c>
      <c r="C302" s="53">
        <v>9</v>
      </c>
      <c r="D302" s="53">
        <v>13</v>
      </c>
      <c r="E302" s="58"/>
      <c r="F302" s="58"/>
      <c r="G302" s="53" t="s">
        <v>46</v>
      </c>
      <c r="H302" s="53">
        <v>2</v>
      </c>
      <c r="I302" s="53">
        <v>9091</v>
      </c>
      <c r="J302" s="53">
        <v>7</v>
      </c>
      <c r="K302" s="53" t="s">
        <v>29</v>
      </c>
      <c r="L302" s="53">
        <v>1</v>
      </c>
      <c r="M302" s="53"/>
      <c r="N302" s="53"/>
      <c r="O302" s="55">
        <v>12.54</v>
      </c>
      <c r="P302" s="55">
        <v>12.5</v>
      </c>
      <c r="Q302" s="55">
        <f t="shared" si="14"/>
        <v>-3.9999999999999147E-2</v>
      </c>
      <c r="R302" s="55"/>
      <c r="S302" s="55" t="str">
        <f t="shared" si="13"/>
        <v/>
      </c>
      <c r="T302" s="12"/>
      <c r="U302" s="12"/>
      <c r="V302" s="12"/>
      <c r="W302" s="12"/>
      <c r="X302" s="53"/>
      <c r="Y302" s="53"/>
      <c r="Z302" s="54" t="s">
        <v>30</v>
      </c>
      <c r="AA302" s="54">
        <v>1</v>
      </c>
      <c r="AB302" s="56"/>
      <c r="AC302" s="53"/>
      <c r="AD302" s="59"/>
    </row>
    <row r="303" spans="1:30" s="57" customFormat="1" ht="20.25">
      <c r="A303" s="53">
        <v>285</v>
      </c>
      <c r="B303" s="53">
        <v>3</v>
      </c>
      <c r="C303" s="53">
        <v>9</v>
      </c>
      <c r="D303" s="53">
        <v>13</v>
      </c>
      <c r="E303" s="58"/>
      <c r="F303" s="58"/>
      <c r="G303" s="53" t="s">
        <v>46</v>
      </c>
      <c r="H303" s="53">
        <v>1</v>
      </c>
      <c r="I303" s="53">
        <v>9091</v>
      </c>
      <c r="J303" s="53">
        <v>8</v>
      </c>
      <c r="K303" s="53" t="s">
        <v>31</v>
      </c>
      <c r="L303" s="53">
        <v>1</v>
      </c>
      <c r="M303" s="53"/>
      <c r="N303" s="53"/>
      <c r="O303" s="55">
        <v>12.54</v>
      </c>
      <c r="P303" s="55">
        <v>12.52</v>
      </c>
      <c r="Q303" s="55">
        <f t="shared" si="14"/>
        <v>-1.9999999999999574E-2</v>
      </c>
      <c r="R303" s="55"/>
      <c r="S303" s="55" t="str">
        <f t="shared" si="13"/>
        <v/>
      </c>
      <c r="T303" s="12"/>
      <c r="U303" s="12"/>
      <c r="V303" s="12"/>
      <c r="W303" s="12"/>
      <c r="X303" s="53"/>
      <c r="Y303" s="53"/>
      <c r="Z303" s="54" t="s">
        <v>30</v>
      </c>
      <c r="AA303" s="54">
        <v>1</v>
      </c>
      <c r="AB303" s="56"/>
      <c r="AC303" s="53"/>
      <c r="AD303" s="59"/>
    </row>
    <row r="304" spans="1:30" s="57" customFormat="1" ht="20.25">
      <c r="A304" s="53">
        <v>286</v>
      </c>
      <c r="B304" s="53">
        <v>3</v>
      </c>
      <c r="C304" s="53">
        <v>9</v>
      </c>
      <c r="D304" s="53">
        <v>13</v>
      </c>
      <c r="E304" s="58"/>
      <c r="F304" s="58"/>
      <c r="G304" s="53" t="s">
        <v>46</v>
      </c>
      <c r="H304" s="53">
        <v>1</v>
      </c>
      <c r="I304" s="53">
        <v>9091</v>
      </c>
      <c r="J304" s="53">
        <v>8</v>
      </c>
      <c r="K304" s="53" t="s">
        <v>29</v>
      </c>
      <c r="L304" s="53">
        <v>1</v>
      </c>
      <c r="M304" s="53"/>
      <c r="N304" s="53"/>
      <c r="O304" s="55">
        <v>12.56</v>
      </c>
      <c r="P304" s="55">
        <v>12.54</v>
      </c>
      <c r="Q304" s="55">
        <f t="shared" si="14"/>
        <v>-2.000000000000135E-2</v>
      </c>
      <c r="R304" s="55"/>
      <c r="S304" s="55" t="str">
        <f t="shared" si="13"/>
        <v/>
      </c>
      <c r="T304" s="12"/>
      <c r="U304" s="12"/>
      <c r="V304" s="12"/>
      <c r="W304" s="12"/>
      <c r="X304" s="53"/>
      <c r="Y304" s="53"/>
      <c r="Z304" s="54" t="s">
        <v>30</v>
      </c>
      <c r="AA304" s="54">
        <v>1</v>
      </c>
      <c r="AB304" s="56"/>
      <c r="AC304" s="53"/>
      <c r="AD304" s="59"/>
    </row>
    <row r="305" spans="1:30" s="57" customFormat="1" ht="20.25">
      <c r="A305" s="53">
        <v>287</v>
      </c>
      <c r="B305" s="53">
        <v>3</v>
      </c>
      <c r="C305" s="53">
        <v>9</v>
      </c>
      <c r="D305" s="53">
        <v>13</v>
      </c>
      <c r="E305" s="58"/>
      <c r="F305" s="58"/>
      <c r="G305" s="53" t="s">
        <v>46</v>
      </c>
      <c r="H305" s="53">
        <v>1</v>
      </c>
      <c r="I305" s="53">
        <v>9091</v>
      </c>
      <c r="J305" s="53">
        <v>10</v>
      </c>
      <c r="K305" s="53" t="s">
        <v>31</v>
      </c>
      <c r="L305" s="53">
        <v>1</v>
      </c>
      <c r="M305" s="53"/>
      <c r="N305" s="53"/>
      <c r="O305" s="55">
        <v>8.02</v>
      </c>
      <c r="P305" s="55">
        <v>8</v>
      </c>
      <c r="Q305" s="55">
        <f t="shared" si="14"/>
        <v>-1.9999999999999574E-2</v>
      </c>
      <c r="R305" s="55"/>
      <c r="S305" s="55" t="str">
        <f t="shared" si="13"/>
        <v/>
      </c>
      <c r="T305" s="12"/>
      <c r="U305" s="12"/>
      <c r="V305" s="12"/>
      <c r="W305" s="12"/>
      <c r="X305" s="53"/>
      <c r="Y305" s="53"/>
      <c r="Z305" s="54">
        <v>1</v>
      </c>
      <c r="AA305" s="54"/>
      <c r="AB305" s="56"/>
      <c r="AC305" s="53"/>
      <c r="AD305" s="59"/>
    </row>
    <row r="306" spans="1:30" s="57" customFormat="1" ht="20.25">
      <c r="A306" s="53">
        <v>288</v>
      </c>
      <c r="B306" s="53">
        <v>3</v>
      </c>
      <c r="C306" s="53">
        <v>9</v>
      </c>
      <c r="D306" s="53">
        <v>13</v>
      </c>
      <c r="E306" s="58"/>
      <c r="F306" s="58"/>
      <c r="G306" s="53" t="s">
        <v>46</v>
      </c>
      <c r="H306" s="53">
        <v>2</v>
      </c>
      <c r="I306" s="53">
        <v>9092</v>
      </c>
      <c r="J306" s="53">
        <v>2</v>
      </c>
      <c r="K306" s="53" t="s">
        <v>29</v>
      </c>
      <c r="L306" s="53">
        <v>1</v>
      </c>
      <c r="M306" s="53"/>
      <c r="N306" s="53"/>
      <c r="O306" s="55">
        <v>8.26</v>
      </c>
      <c r="P306" s="55">
        <v>8.23</v>
      </c>
      <c r="Q306" s="55">
        <f t="shared" si="14"/>
        <v>-2.9999999999999361E-2</v>
      </c>
      <c r="R306" s="55"/>
      <c r="S306" s="55" t="str">
        <f t="shared" si="13"/>
        <v/>
      </c>
      <c r="T306" s="12"/>
      <c r="U306" s="12"/>
      <c r="V306" s="12"/>
      <c r="W306" s="12"/>
      <c r="X306" s="53"/>
      <c r="Y306" s="53"/>
      <c r="Z306" s="54">
        <v>1</v>
      </c>
      <c r="AA306" s="54"/>
      <c r="AB306" s="56"/>
      <c r="AC306" s="53"/>
      <c r="AD306" s="59"/>
    </row>
    <row r="307" spans="1:30" s="57" customFormat="1" ht="20.25">
      <c r="A307" s="53">
        <v>289</v>
      </c>
      <c r="B307" s="53">
        <v>3</v>
      </c>
      <c r="C307" s="53">
        <v>9</v>
      </c>
      <c r="D307" s="53">
        <v>14</v>
      </c>
      <c r="E307" s="58"/>
      <c r="F307" s="58"/>
      <c r="G307" s="53" t="s">
        <v>47</v>
      </c>
      <c r="H307" s="53">
        <v>2</v>
      </c>
      <c r="I307" s="53">
        <v>9093</v>
      </c>
      <c r="J307" s="53">
        <v>4</v>
      </c>
      <c r="K307" s="53" t="s">
        <v>31</v>
      </c>
      <c r="L307" s="53">
        <v>1</v>
      </c>
      <c r="M307" s="53"/>
      <c r="N307" s="53"/>
      <c r="O307" s="55">
        <v>8.18</v>
      </c>
      <c r="P307" s="55">
        <v>8.15</v>
      </c>
      <c r="Q307" s="55">
        <f t="shared" si="14"/>
        <v>-2.9999999999999361E-2</v>
      </c>
      <c r="R307" s="55"/>
      <c r="S307" s="55" t="str">
        <f t="shared" si="13"/>
        <v/>
      </c>
      <c r="T307" s="12"/>
      <c r="U307" s="12"/>
      <c r="V307" s="12"/>
      <c r="W307" s="12"/>
      <c r="X307" s="53"/>
      <c r="Y307" s="53"/>
      <c r="Z307" s="54">
        <v>1</v>
      </c>
      <c r="AA307" s="54"/>
      <c r="AB307" s="56"/>
      <c r="AC307" s="53"/>
      <c r="AD307" s="59"/>
    </row>
    <row r="308" spans="1:30" s="57" customFormat="1" ht="20.25">
      <c r="A308" s="53">
        <v>290</v>
      </c>
      <c r="B308" s="53">
        <v>3</v>
      </c>
      <c r="C308" s="53">
        <v>9</v>
      </c>
      <c r="D308" s="53">
        <v>14</v>
      </c>
      <c r="E308" s="58"/>
      <c r="F308" s="58"/>
      <c r="G308" s="53" t="s">
        <v>47</v>
      </c>
      <c r="H308" s="53">
        <v>1</v>
      </c>
      <c r="I308" s="53">
        <v>9093</v>
      </c>
      <c r="J308" s="53">
        <v>4</v>
      </c>
      <c r="K308" s="53" t="s">
        <v>31</v>
      </c>
      <c r="L308" s="53">
        <v>1</v>
      </c>
      <c r="M308" s="53">
        <v>1</v>
      </c>
      <c r="N308" s="53"/>
      <c r="O308" s="55">
        <v>10.48</v>
      </c>
      <c r="P308" s="55">
        <v>10.46</v>
      </c>
      <c r="Q308" s="55">
        <f t="shared" si="14"/>
        <v>-1.9999999999999574E-2</v>
      </c>
      <c r="R308" s="55"/>
      <c r="S308" s="55" t="str">
        <f t="shared" si="13"/>
        <v/>
      </c>
      <c r="T308" s="12"/>
      <c r="U308" s="12"/>
      <c r="V308" s="12"/>
      <c r="W308" s="12"/>
      <c r="X308" s="53"/>
      <c r="Y308" s="53"/>
      <c r="Z308" s="54">
        <v>1</v>
      </c>
      <c r="AA308" s="54"/>
      <c r="AB308" s="56"/>
      <c r="AC308" s="53"/>
      <c r="AD308" s="59"/>
    </row>
    <row r="309" spans="1:30" s="57" customFormat="1" ht="20.25">
      <c r="A309" s="53">
        <v>291</v>
      </c>
      <c r="B309" s="53">
        <v>3</v>
      </c>
      <c r="C309" s="53">
        <v>9</v>
      </c>
      <c r="D309" s="53">
        <v>14</v>
      </c>
      <c r="E309" s="58"/>
      <c r="F309" s="58"/>
      <c r="G309" s="53" t="s">
        <v>47</v>
      </c>
      <c r="H309" s="53">
        <v>1</v>
      </c>
      <c r="I309" s="53">
        <v>9094</v>
      </c>
      <c r="J309" s="53">
        <v>3</v>
      </c>
      <c r="K309" s="53" t="s">
        <v>31</v>
      </c>
      <c r="L309" s="53">
        <v>1</v>
      </c>
      <c r="M309" s="53"/>
      <c r="N309" s="53"/>
      <c r="O309" s="55">
        <v>10.73</v>
      </c>
      <c r="P309" s="55">
        <v>10.7</v>
      </c>
      <c r="Q309" s="55">
        <f t="shared" si="14"/>
        <v>-3.0000000000001137E-2</v>
      </c>
      <c r="R309" s="55"/>
      <c r="S309" s="55" t="str">
        <f t="shared" si="13"/>
        <v/>
      </c>
      <c r="T309" s="12"/>
      <c r="U309" s="12"/>
      <c r="V309" s="12"/>
      <c r="W309" s="12"/>
      <c r="X309" s="53"/>
      <c r="Y309" s="53"/>
      <c r="Z309" s="54">
        <v>1</v>
      </c>
      <c r="AA309" s="54"/>
      <c r="AB309" s="56"/>
      <c r="AC309" s="53"/>
      <c r="AD309" s="59"/>
    </row>
    <row r="310" spans="1:30" s="57" customFormat="1" ht="20.25">
      <c r="A310" s="53">
        <v>292</v>
      </c>
      <c r="B310" s="53">
        <v>3</v>
      </c>
      <c r="C310" s="53">
        <v>9</v>
      </c>
      <c r="D310" s="53">
        <v>14</v>
      </c>
      <c r="E310" s="58"/>
      <c r="F310" s="58"/>
      <c r="G310" s="53" t="s">
        <v>47</v>
      </c>
      <c r="H310" s="53">
        <v>1</v>
      </c>
      <c r="I310" s="53">
        <v>9094</v>
      </c>
      <c r="J310" s="53">
        <v>5</v>
      </c>
      <c r="K310" s="53" t="s">
        <v>29</v>
      </c>
      <c r="L310" s="53">
        <v>1</v>
      </c>
      <c r="M310" s="53"/>
      <c r="N310" s="53"/>
      <c r="O310" s="55">
        <v>12.53</v>
      </c>
      <c r="P310" s="55">
        <v>12.5</v>
      </c>
      <c r="Q310" s="55">
        <f t="shared" si="14"/>
        <v>-2.9999999999999361E-2</v>
      </c>
      <c r="R310" s="55"/>
      <c r="S310" s="55" t="str">
        <f t="shared" si="13"/>
        <v/>
      </c>
      <c r="T310" s="12"/>
      <c r="U310" s="12"/>
      <c r="V310" s="12"/>
      <c r="W310" s="12"/>
      <c r="X310" s="53"/>
      <c r="Y310" s="53"/>
      <c r="Z310" s="54">
        <v>1</v>
      </c>
      <c r="AA310" s="54"/>
      <c r="AB310" s="56"/>
      <c r="AC310" s="53"/>
      <c r="AD310" s="59"/>
    </row>
    <row r="311" spans="1:30" s="57" customFormat="1" ht="20.25">
      <c r="A311" s="53">
        <v>293</v>
      </c>
      <c r="B311" s="53">
        <v>3</v>
      </c>
      <c r="C311" s="53">
        <v>9</v>
      </c>
      <c r="D311" s="53">
        <v>14</v>
      </c>
      <c r="E311" s="58"/>
      <c r="F311" s="58"/>
      <c r="G311" s="53" t="s">
        <v>47</v>
      </c>
      <c r="H311" s="53">
        <v>1</v>
      </c>
      <c r="I311" s="53">
        <v>9095</v>
      </c>
      <c r="J311" s="53">
        <v>1</v>
      </c>
      <c r="K311" s="53" t="s">
        <v>29</v>
      </c>
      <c r="L311" s="53">
        <v>1</v>
      </c>
      <c r="M311" s="53"/>
      <c r="N311" s="53"/>
      <c r="O311" s="55">
        <v>12.57</v>
      </c>
      <c r="P311" s="55">
        <v>12.54</v>
      </c>
      <c r="Q311" s="55">
        <f t="shared" si="14"/>
        <v>-3.0000000000001137E-2</v>
      </c>
      <c r="R311" s="55"/>
      <c r="S311" s="55" t="str">
        <f t="shared" si="13"/>
        <v/>
      </c>
      <c r="T311" s="12"/>
      <c r="U311" s="12"/>
      <c r="V311" s="12"/>
      <c r="W311" s="12"/>
      <c r="X311" s="53"/>
      <c r="Y311" s="53"/>
      <c r="Z311" s="54">
        <v>1</v>
      </c>
      <c r="AA311" s="54"/>
      <c r="AB311" s="56"/>
      <c r="AC311" s="53"/>
      <c r="AD311" s="59"/>
    </row>
    <row r="312" spans="1:30" s="57" customFormat="1" ht="20.25">
      <c r="A312" s="53">
        <v>294</v>
      </c>
      <c r="B312" s="53">
        <v>3</v>
      </c>
      <c r="C312" s="53">
        <v>9</v>
      </c>
      <c r="D312" s="53">
        <v>14</v>
      </c>
      <c r="E312" s="58"/>
      <c r="F312" s="58"/>
      <c r="G312" s="53" t="s">
        <v>47</v>
      </c>
      <c r="H312" s="53">
        <v>1</v>
      </c>
      <c r="I312" s="53">
        <v>9095</v>
      </c>
      <c r="J312" s="53">
        <v>5</v>
      </c>
      <c r="K312" s="53" t="s">
        <v>31</v>
      </c>
      <c r="L312" s="53">
        <v>1</v>
      </c>
      <c r="M312" s="53"/>
      <c r="N312" s="53"/>
      <c r="O312" s="55">
        <v>8.2799999999999994</v>
      </c>
      <c r="P312" s="55">
        <v>8.25</v>
      </c>
      <c r="Q312" s="55">
        <f t="shared" si="14"/>
        <v>-2.9999999999999361E-2</v>
      </c>
      <c r="R312" s="55"/>
      <c r="S312" s="55" t="str">
        <f t="shared" si="13"/>
        <v/>
      </c>
      <c r="T312" s="12"/>
      <c r="U312" s="12"/>
      <c r="V312" s="12"/>
      <c r="W312" s="12"/>
      <c r="X312" s="53"/>
      <c r="Y312" s="53"/>
      <c r="Z312" s="54">
        <v>1</v>
      </c>
      <c r="AA312" s="54"/>
      <c r="AB312" s="56"/>
      <c r="AC312" s="53"/>
      <c r="AD312" s="59"/>
    </row>
    <row r="313" spans="1:30" s="57" customFormat="1" ht="20.25">
      <c r="A313" s="53">
        <v>295</v>
      </c>
      <c r="B313" s="53">
        <v>3</v>
      </c>
      <c r="C313" s="53">
        <v>9</v>
      </c>
      <c r="D313" s="53">
        <v>14</v>
      </c>
      <c r="E313" s="58"/>
      <c r="F313" s="58"/>
      <c r="G313" s="53" t="s">
        <v>47</v>
      </c>
      <c r="H313" s="53">
        <v>1</v>
      </c>
      <c r="I313" s="53">
        <v>9096</v>
      </c>
      <c r="J313" s="53">
        <v>5</v>
      </c>
      <c r="K313" s="53" t="s">
        <v>29</v>
      </c>
      <c r="L313" s="53">
        <v>1</v>
      </c>
      <c r="M313" s="53">
        <v>1</v>
      </c>
      <c r="N313" s="53"/>
      <c r="O313" s="55">
        <v>12.52</v>
      </c>
      <c r="P313" s="55">
        <v>12.5</v>
      </c>
      <c r="Q313" s="55">
        <f t="shared" si="14"/>
        <v>-1.9999999999999574E-2</v>
      </c>
      <c r="R313" s="55"/>
      <c r="S313" s="55" t="str">
        <f t="shared" si="13"/>
        <v/>
      </c>
      <c r="T313" s="12"/>
      <c r="U313" s="12"/>
      <c r="V313" s="12"/>
      <c r="W313" s="12"/>
      <c r="X313" s="53"/>
      <c r="Y313" s="53"/>
      <c r="Z313" s="54">
        <v>1</v>
      </c>
      <c r="AA313" s="54"/>
      <c r="AB313" s="56"/>
      <c r="AC313" s="53"/>
      <c r="AD313" s="59"/>
    </row>
    <row r="314" spans="1:30" s="57" customFormat="1" ht="20.25">
      <c r="A314" s="53">
        <v>296</v>
      </c>
      <c r="B314" s="53">
        <v>3</v>
      </c>
      <c r="C314" s="53">
        <v>9</v>
      </c>
      <c r="D314" s="53">
        <v>14</v>
      </c>
      <c r="E314" s="58"/>
      <c r="F314" s="58"/>
      <c r="G314" s="53" t="s">
        <v>47</v>
      </c>
      <c r="H314" s="53">
        <v>1</v>
      </c>
      <c r="I314" s="53">
        <v>9096</v>
      </c>
      <c r="J314" s="53">
        <v>7</v>
      </c>
      <c r="K314" s="53" t="s">
        <v>31</v>
      </c>
      <c r="L314" s="53">
        <v>1</v>
      </c>
      <c r="M314" s="53"/>
      <c r="N314" s="53"/>
      <c r="O314" s="55">
        <v>8.34</v>
      </c>
      <c r="P314" s="55">
        <v>8.31</v>
      </c>
      <c r="Q314" s="55">
        <f t="shared" si="14"/>
        <v>-2.9999999999999361E-2</v>
      </c>
      <c r="R314" s="55"/>
      <c r="S314" s="55" t="str">
        <f t="shared" si="13"/>
        <v/>
      </c>
      <c r="T314" s="12"/>
      <c r="U314" s="12"/>
      <c r="V314" s="12"/>
      <c r="W314" s="12"/>
      <c r="X314" s="53"/>
      <c r="Y314" s="53"/>
      <c r="Z314" s="54">
        <v>1</v>
      </c>
      <c r="AA314" s="54"/>
      <c r="AB314" s="56"/>
      <c r="AC314" s="53"/>
      <c r="AD314" s="59"/>
    </row>
    <row r="315" spans="1:30" s="57" customFormat="1" ht="20.25">
      <c r="A315" s="53">
        <v>297</v>
      </c>
      <c r="B315" s="53">
        <v>3</v>
      </c>
      <c r="C315" s="53">
        <v>9</v>
      </c>
      <c r="D315" s="53">
        <v>14</v>
      </c>
      <c r="E315" s="58"/>
      <c r="F315" s="58"/>
      <c r="G315" s="53" t="s">
        <v>47</v>
      </c>
      <c r="H315" s="53">
        <v>1</v>
      </c>
      <c r="I315" s="53">
        <v>9096</v>
      </c>
      <c r="J315" s="53">
        <v>9</v>
      </c>
      <c r="K315" s="53" t="s">
        <v>31</v>
      </c>
      <c r="L315" s="53">
        <v>1</v>
      </c>
      <c r="M315" s="53"/>
      <c r="N315" s="53"/>
      <c r="O315" s="55">
        <v>12.54</v>
      </c>
      <c r="P315" s="55">
        <v>12.5</v>
      </c>
      <c r="Q315" s="55">
        <f t="shared" si="14"/>
        <v>-3.9999999999999147E-2</v>
      </c>
      <c r="R315" s="55"/>
      <c r="S315" s="55" t="str">
        <f t="shared" si="13"/>
        <v/>
      </c>
      <c r="T315" s="12"/>
      <c r="U315" s="12"/>
      <c r="V315" s="12"/>
      <c r="W315" s="12"/>
      <c r="X315" s="53"/>
      <c r="Y315" s="53"/>
      <c r="Z315" s="54">
        <v>1</v>
      </c>
      <c r="AA315" s="54"/>
      <c r="AB315" s="56"/>
      <c r="AC315" s="53"/>
      <c r="AD315" s="59"/>
    </row>
    <row r="316" spans="1:30" s="57" customFormat="1" ht="20.25">
      <c r="A316" s="53">
        <v>298</v>
      </c>
      <c r="B316" s="53">
        <v>3</v>
      </c>
      <c r="C316" s="53">
        <v>9</v>
      </c>
      <c r="D316" s="53">
        <v>14</v>
      </c>
      <c r="E316" s="58"/>
      <c r="F316" s="58"/>
      <c r="G316" s="53" t="s">
        <v>47</v>
      </c>
      <c r="H316" s="53">
        <v>1</v>
      </c>
      <c r="I316" s="53">
        <v>9097</v>
      </c>
      <c r="J316" s="53">
        <v>6</v>
      </c>
      <c r="K316" s="53" t="s">
        <v>31</v>
      </c>
      <c r="L316" s="53">
        <v>1</v>
      </c>
      <c r="M316" s="53"/>
      <c r="N316" s="53"/>
      <c r="O316" s="55">
        <v>8.19</v>
      </c>
      <c r="P316" s="55">
        <v>8.16</v>
      </c>
      <c r="Q316" s="55">
        <f t="shared" si="14"/>
        <v>-2.9999999999999361E-2</v>
      </c>
      <c r="R316" s="55"/>
      <c r="S316" s="55" t="str">
        <f t="shared" si="13"/>
        <v/>
      </c>
      <c r="T316" s="12"/>
      <c r="U316" s="12"/>
      <c r="V316" s="12"/>
      <c r="W316" s="12"/>
      <c r="X316" s="53"/>
      <c r="Y316" s="53"/>
      <c r="Z316" s="54">
        <v>1</v>
      </c>
      <c r="AA316" s="54"/>
      <c r="AB316" s="56"/>
      <c r="AC316" s="53"/>
      <c r="AD316" s="59"/>
    </row>
    <row r="317" spans="1:30" s="57" customFormat="1" ht="20.25">
      <c r="A317" s="53">
        <v>299</v>
      </c>
      <c r="B317" s="53">
        <v>3</v>
      </c>
      <c r="C317" s="53">
        <v>9</v>
      </c>
      <c r="D317" s="53">
        <v>14</v>
      </c>
      <c r="E317" s="58"/>
      <c r="F317" s="58"/>
      <c r="G317" s="53" t="s">
        <v>47</v>
      </c>
      <c r="H317" s="53">
        <v>1</v>
      </c>
      <c r="I317" s="53">
        <v>9097</v>
      </c>
      <c r="J317" s="53">
        <v>6</v>
      </c>
      <c r="K317" s="53" t="s">
        <v>31</v>
      </c>
      <c r="L317" s="53">
        <v>1</v>
      </c>
      <c r="M317" s="53"/>
      <c r="N317" s="53"/>
      <c r="O317" s="55">
        <v>8.23</v>
      </c>
      <c r="P317" s="55">
        <v>8.1999999999999993</v>
      </c>
      <c r="Q317" s="55">
        <f t="shared" si="14"/>
        <v>-3.0000000000001137E-2</v>
      </c>
      <c r="R317" s="55"/>
      <c r="S317" s="55" t="str">
        <f t="shared" si="13"/>
        <v/>
      </c>
      <c r="T317" s="12"/>
      <c r="U317" s="12"/>
      <c r="V317" s="12"/>
      <c r="W317" s="12"/>
      <c r="X317" s="53"/>
      <c r="Y317" s="53"/>
      <c r="Z317" s="54">
        <v>1</v>
      </c>
      <c r="AA317" s="54"/>
      <c r="AB317" s="56"/>
      <c r="AC317" s="53"/>
      <c r="AD317" s="59"/>
    </row>
    <row r="318" spans="1:30" s="57" customFormat="1" ht="20.25">
      <c r="A318" s="53">
        <v>300</v>
      </c>
      <c r="B318" s="53">
        <v>3</v>
      </c>
      <c r="C318" s="53">
        <v>9</v>
      </c>
      <c r="D318" s="53">
        <v>14</v>
      </c>
      <c r="E318" s="58"/>
      <c r="F318" s="58"/>
      <c r="G318" s="53" t="s">
        <v>47</v>
      </c>
      <c r="H318" s="53">
        <v>2</v>
      </c>
      <c r="I318" s="53">
        <v>9100</v>
      </c>
      <c r="J318" s="53">
        <v>4</v>
      </c>
      <c r="K318" s="53" t="s">
        <v>29</v>
      </c>
      <c r="L318" s="53">
        <v>1</v>
      </c>
      <c r="M318" s="53"/>
      <c r="N318" s="53"/>
      <c r="O318" s="55">
        <v>8.31</v>
      </c>
      <c r="P318" s="55">
        <v>8.2799999999999994</v>
      </c>
      <c r="Q318" s="55">
        <f t="shared" si="14"/>
        <v>-3.0000000000001137E-2</v>
      </c>
      <c r="R318" s="55"/>
      <c r="S318" s="55" t="str">
        <f t="shared" si="13"/>
        <v/>
      </c>
      <c r="T318" s="12"/>
      <c r="U318" s="12"/>
      <c r="V318" s="12"/>
      <c r="W318" s="12"/>
      <c r="X318" s="53"/>
      <c r="Y318" s="53"/>
      <c r="Z318" s="54">
        <v>1</v>
      </c>
      <c r="AA318" s="54"/>
      <c r="AB318" s="56"/>
      <c r="AC318" s="53"/>
      <c r="AD318" s="59"/>
    </row>
    <row r="319" spans="1:30" s="57" customFormat="1" ht="20.25">
      <c r="A319" s="53">
        <v>301</v>
      </c>
      <c r="B319" s="53">
        <v>3</v>
      </c>
      <c r="C319" s="53">
        <v>9</v>
      </c>
      <c r="D319" s="53">
        <v>14</v>
      </c>
      <c r="E319" s="58"/>
      <c r="F319" s="58"/>
      <c r="G319" s="53" t="s">
        <v>47</v>
      </c>
      <c r="H319" s="53">
        <v>1</v>
      </c>
      <c r="I319" s="53">
        <v>9100</v>
      </c>
      <c r="J319" s="53">
        <v>8</v>
      </c>
      <c r="K319" s="53" t="s">
        <v>29</v>
      </c>
      <c r="L319" s="53">
        <v>1</v>
      </c>
      <c r="M319" s="53"/>
      <c r="N319" s="53"/>
      <c r="O319" s="55">
        <v>8.09</v>
      </c>
      <c r="P319" s="55">
        <v>8.06</v>
      </c>
      <c r="Q319" s="55">
        <f t="shared" si="14"/>
        <v>-2.9999999999999361E-2</v>
      </c>
      <c r="R319" s="55"/>
      <c r="S319" s="55" t="str">
        <f t="shared" si="13"/>
        <v/>
      </c>
      <c r="T319" s="12"/>
      <c r="U319" s="12"/>
      <c r="V319" s="12"/>
      <c r="W319" s="12"/>
      <c r="X319" s="53"/>
      <c r="Y319" s="53"/>
      <c r="Z319" s="54">
        <v>1</v>
      </c>
      <c r="AA319" s="54"/>
      <c r="AB319" s="56"/>
      <c r="AC319" s="53"/>
      <c r="AD319" s="59"/>
    </row>
    <row r="320" spans="1:30" s="57" customFormat="1" ht="20.25">
      <c r="A320" s="53">
        <v>302</v>
      </c>
      <c r="B320" s="53">
        <v>3</v>
      </c>
      <c r="C320" s="53">
        <v>9</v>
      </c>
      <c r="D320" s="53">
        <v>14</v>
      </c>
      <c r="E320" s="58"/>
      <c r="F320" s="58"/>
      <c r="G320" s="53" t="s">
        <v>47</v>
      </c>
      <c r="H320" s="53">
        <v>1</v>
      </c>
      <c r="I320" s="53">
        <v>9101</v>
      </c>
      <c r="J320" s="53">
        <v>1</v>
      </c>
      <c r="K320" s="53" t="s">
        <v>31</v>
      </c>
      <c r="L320" s="53">
        <v>1</v>
      </c>
      <c r="M320" s="53"/>
      <c r="N320" s="53"/>
      <c r="O320" s="55">
        <v>8.1</v>
      </c>
      <c r="P320" s="55">
        <v>8.08</v>
      </c>
      <c r="Q320" s="55">
        <f t="shared" si="14"/>
        <v>-1.9999999999999574E-2</v>
      </c>
      <c r="R320" s="55"/>
      <c r="S320" s="55" t="str">
        <f t="shared" si="13"/>
        <v/>
      </c>
      <c r="T320" s="12"/>
      <c r="U320" s="12"/>
      <c r="V320" s="12"/>
      <c r="W320" s="12"/>
      <c r="X320" s="53"/>
      <c r="Y320" s="53"/>
      <c r="Z320" s="54">
        <v>1</v>
      </c>
      <c r="AA320" s="54"/>
      <c r="AB320" s="56"/>
      <c r="AC320" s="53"/>
      <c r="AD320" s="59"/>
    </row>
    <row r="321" spans="1:30" s="57" customFormat="1" ht="20.25">
      <c r="A321" s="53">
        <v>303</v>
      </c>
      <c r="B321" s="53">
        <v>3</v>
      </c>
      <c r="C321" s="53">
        <v>9</v>
      </c>
      <c r="D321" s="53">
        <v>14</v>
      </c>
      <c r="E321" s="58"/>
      <c r="F321" s="58"/>
      <c r="G321" s="53" t="s">
        <v>47</v>
      </c>
      <c r="H321" s="53">
        <v>1</v>
      </c>
      <c r="I321" s="53">
        <v>9106</v>
      </c>
      <c r="J321" s="53">
        <v>6</v>
      </c>
      <c r="K321" s="53" t="s">
        <v>29</v>
      </c>
      <c r="L321" s="53">
        <v>1</v>
      </c>
      <c r="M321" s="53"/>
      <c r="N321" s="53"/>
      <c r="O321" s="55">
        <v>10.02</v>
      </c>
      <c r="P321" s="55">
        <v>9.99</v>
      </c>
      <c r="Q321" s="55">
        <f t="shared" si="14"/>
        <v>-2.9999999999999361E-2</v>
      </c>
      <c r="R321" s="55"/>
      <c r="S321" s="55" t="str">
        <f t="shared" si="13"/>
        <v/>
      </c>
      <c r="T321" s="12"/>
      <c r="U321" s="12"/>
      <c r="V321" s="12"/>
      <c r="W321" s="12"/>
      <c r="X321" s="53"/>
      <c r="Y321" s="53"/>
      <c r="Z321" s="54">
        <v>1</v>
      </c>
      <c r="AA321" s="54" t="s">
        <v>30</v>
      </c>
      <c r="AB321" s="56"/>
      <c r="AC321" s="53"/>
      <c r="AD321" s="59"/>
    </row>
    <row r="328" spans="1:30" ht="25.5">
      <c r="A328" s="70" t="s">
        <v>67</v>
      </c>
      <c r="B328" s="70"/>
      <c r="C328" s="70"/>
      <c r="D328" s="70"/>
      <c r="E328" s="70"/>
      <c r="F328" s="70"/>
      <c r="G328" s="70"/>
      <c r="H328" s="70"/>
      <c r="I328" s="70"/>
      <c r="J328" s="70"/>
      <c r="K328" s="70"/>
      <c r="L328" s="70"/>
      <c r="M328" s="70"/>
      <c r="N328" s="70"/>
      <c r="O328" s="70"/>
      <c r="P328" s="70"/>
      <c r="Q328" s="70"/>
      <c r="R328" s="70"/>
      <c r="S328" s="70"/>
      <c r="T328" s="70"/>
      <c r="U328" s="70"/>
      <c r="V328" s="70"/>
      <c r="W328" s="70"/>
      <c r="X328" s="70"/>
      <c r="Y328" s="70"/>
      <c r="Z328" s="70"/>
      <c r="AA328" s="70"/>
      <c r="AB328" s="70"/>
      <c r="AC328" s="70"/>
      <c r="AD328" s="70"/>
    </row>
    <row r="339" spans="2:2" ht="15">
      <c r="B339" s="66" t="s">
        <v>68</v>
      </c>
    </row>
    <row r="340" spans="2:2" ht="15">
      <c r="B340" s="66" t="s">
        <v>69</v>
      </c>
    </row>
  </sheetData>
  <autoFilter ref="A18:AD321">
    <filterColumn colId="4"/>
  </autoFilter>
  <sortState ref="A286:AD301">
    <sortCondition ref="I286:I301"/>
    <sortCondition ref="J286:J301"/>
  </sortState>
  <mergeCells count="24">
    <mergeCell ref="A328:AD328"/>
    <mergeCell ref="D16:D17"/>
    <mergeCell ref="A14:AD14"/>
    <mergeCell ref="A16:A17"/>
    <mergeCell ref="B16:B17"/>
    <mergeCell ref="C16:C17"/>
    <mergeCell ref="E16:E17"/>
    <mergeCell ref="G16:G17"/>
    <mergeCell ref="F16:F17"/>
    <mergeCell ref="H16:H17"/>
    <mergeCell ref="I16:J16"/>
    <mergeCell ref="O16:P16"/>
    <mergeCell ref="L16:N16"/>
    <mergeCell ref="K16:K17"/>
    <mergeCell ref="R16:R17"/>
    <mergeCell ref="AD16:AD17"/>
    <mergeCell ref="Q16:Q17"/>
    <mergeCell ref="S16:S17"/>
    <mergeCell ref="Z16:AB16"/>
    <mergeCell ref="AC16:AC17"/>
    <mergeCell ref="T16:W16"/>
    <mergeCell ref="X16:Y16"/>
    <mergeCell ref="T17:U17"/>
    <mergeCell ref="V17:W17"/>
  </mergeCells>
  <pageMargins left="0.27559055118110237" right="0.15748031496062992" top="0.74803149606299213" bottom="0.74803149606299213" header="0.31496062992125984" footer="0.31496062992125984"/>
  <pageSetup paperSize="9" scale="37" fitToHeight="0" orientation="landscape" r:id="rId1"/>
  <rowBreaks count="1" manualBreakCount="1">
    <brk id="237" max="29" man="1"/>
  </row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10">
    <pageSetUpPr fitToPage="1"/>
  </sheetPr>
  <dimension ref="A1:P18"/>
  <sheetViews>
    <sheetView workbookViewId="0">
      <selection activeCell="Q8" sqref="Q8"/>
    </sheetView>
  </sheetViews>
  <sheetFormatPr defaultColWidth="8.7109375" defaultRowHeight="15.75"/>
  <cols>
    <col min="1" max="1" width="11.28515625" style="15" bestFit="1" customWidth="1"/>
    <col min="2" max="2" width="10.28515625" style="15" bestFit="1" customWidth="1"/>
    <col min="3" max="3" width="18" style="15" customWidth="1"/>
    <col min="4" max="16" width="8.7109375" style="15"/>
    <col min="17" max="16384" width="8.7109375" style="14"/>
  </cols>
  <sheetData>
    <row r="1" spans="1:16" ht="20.25">
      <c r="A1" s="80" t="s">
        <v>72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</row>
    <row r="2" spans="1:16" ht="21" thickBot="1">
      <c r="A2" s="80" t="str">
        <f>"по состоянию на "&amp;TEXT(A8,"ДД.ММ.ГГГГ")</f>
        <v>по состоянию на 07.09.2021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</row>
    <row r="3" spans="1:16">
      <c r="A3" s="81" t="s">
        <v>57</v>
      </c>
      <c r="B3" s="82"/>
      <c r="C3" s="83"/>
      <c r="D3" s="87" t="s">
        <v>56</v>
      </c>
      <c r="E3" s="88"/>
      <c r="F3" s="88"/>
      <c r="G3" s="88"/>
      <c r="H3" s="88"/>
      <c r="I3" s="88"/>
      <c r="J3" s="88"/>
      <c r="K3" s="88"/>
      <c r="L3" s="88"/>
      <c r="M3" s="88"/>
      <c r="N3" s="88"/>
      <c r="O3" s="89"/>
      <c r="P3" s="90" t="s">
        <v>58</v>
      </c>
    </row>
    <row r="4" spans="1:16" ht="16.5" thickBot="1">
      <c r="A4" s="84"/>
      <c r="B4" s="85"/>
      <c r="C4" s="86"/>
      <c r="D4" s="16">
        <v>1</v>
      </c>
      <c r="E4" s="17">
        <v>2</v>
      </c>
      <c r="F4" s="17">
        <v>3</v>
      </c>
      <c r="G4" s="17">
        <v>5</v>
      </c>
      <c r="H4" s="17">
        <v>6</v>
      </c>
      <c r="I4" s="17">
        <v>7</v>
      </c>
      <c r="J4" s="17">
        <v>9</v>
      </c>
      <c r="K4" s="17">
        <v>10</v>
      </c>
      <c r="L4" s="17">
        <v>11</v>
      </c>
      <c r="M4" s="17">
        <v>12</v>
      </c>
      <c r="N4" s="17">
        <v>13</v>
      </c>
      <c r="O4" s="18">
        <v>14</v>
      </c>
      <c r="P4" s="91"/>
    </row>
    <row r="5" spans="1:16">
      <c r="A5" s="92" t="s">
        <v>59</v>
      </c>
      <c r="B5" s="93"/>
      <c r="C5" s="36" t="s">
        <v>61</v>
      </c>
      <c r="D5" s="39">
        <v>13</v>
      </c>
      <c r="E5" s="35">
        <v>9</v>
      </c>
      <c r="F5" s="35">
        <v>0</v>
      </c>
      <c r="G5" s="35">
        <v>3</v>
      </c>
      <c r="H5" s="35">
        <v>16</v>
      </c>
      <c r="I5" s="35">
        <v>0</v>
      </c>
      <c r="J5" s="35">
        <v>18</v>
      </c>
      <c r="K5" s="35">
        <v>12</v>
      </c>
      <c r="L5" s="35">
        <v>10</v>
      </c>
      <c r="M5" s="35">
        <v>7</v>
      </c>
      <c r="N5" s="35">
        <v>7</v>
      </c>
      <c r="O5" s="36">
        <v>0</v>
      </c>
      <c r="P5" s="37">
        <f>SUM(D5:O5)</f>
        <v>95</v>
      </c>
    </row>
    <row r="6" spans="1:16">
      <c r="A6" s="94"/>
      <c r="B6" s="95"/>
      <c r="C6" s="22" t="s">
        <v>62</v>
      </c>
      <c r="D6" s="40">
        <v>14</v>
      </c>
      <c r="E6" s="19">
        <v>8</v>
      </c>
      <c r="F6" s="19">
        <v>52</v>
      </c>
      <c r="G6" s="19">
        <v>10</v>
      </c>
      <c r="H6" s="19">
        <v>37</v>
      </c>
      <c r="I6" s="19">
        <v>33</v>
      </c>
      <c r="J6" s="19">
        <v>4</v>
      </c>
      <c r="K6" s="19">
        <v>6</v>
      </c>
      <c r="L6" s="19">
        <v>6</v>
      </c>
      <c r="M6" s="19">
        <v>13</v>
      </c>
      <c r="N6" s="19">
        <v>10</v>
      </c>
      <c r="O6" s="22">
        <v>15</v>
      </c>
      <c r="P6" s="44">
        <f t="shared" ref="P6:P7" si="0">SUM(D6:O6)</f>
        <v>208</v>
      </c>
    </row>
    <row r="7" spans="1:16" ht="16.5" thickBot="1">
      <c r="A7" s="96"/>
      <c r="B7" s="97"/>
      <c r="C7" s="23" t="s">
        <v>63</v>
      </c>
      <c r="D7" s="28">
        <f>D5+D6</f>
        <v>27</v>
      </c>
      <c r="E7" s="17">
        <f t="shared" ref="E7:O7" si="1">E5+E6</f>
        <v>17</v>
      </c>
      <c r="F7" s="17">
        <f t="shared" si="1"/>
        <v>52</v>
      </c>
      <c r="G7" s="17">
        <f t="shared" si="1"/>
        <v>13</v>
      </c>
      <c r="H7" s="17">
        <f t="shared" si="1"/>
        <v>53</v>
      </c>
      <c r="I7" s="17">
        <f t="shared" si="1"/>
        <v>33</v>
      </c>
      <c r="J7" s="17">
        <f t="shared" si="1"/>
        <v>22</v>
      </c>
      <c r="K7" s="17">
        <f t="shared" si="1"/>
        <v>18</v>
      </c>
      <c r="L7" s="17">
        <f t="shared" si="1"/>
        <v>16</v>
      </c>
      <c r="M7" s="17">
        <f t="shared" si="1"/>
        <v>20</v>
      </c>
      <c r="N7" s="17">
        <f t="shared" si="1"/>
        <v>17</v>
      </c>
      <c r="O7" s="18">
        <f t="shared" si="1"/>
        <v>15</v>
      </c>
      <c r="P7" s="38">
        <f t="shared" si="0"/>
        <v>303</v>
      </c>
    </row>
    <row r="8" spans="1:16">
      <c r="A8" s="76">
        <v>44446</v>
      </c>
      <c r="B8" s="79" t="s">
        <v>64</v>
      </c>
      <c r="C8" s="49" t="s">
        <v>61</v>
      </c>
      <c r="D8" s="29">
        <v>0</v>
      </c>
      <c r="E8" s="32">
        <v>0</v>
      </c>
      <c r="F8" s="32">
        <v>0</v>
      </c>
      <c r="G8" s="32">
        <v>0</v>
      </c>
      <c r="H8" s="32">
        <v>0</v>
      </c>
      <c r="I8" s="32">
        <v>0</v>
      </c>
      <c r="J8" s="32">
        <v>0</v>
      </c>
      <c r="K8" s="32">
        <v>0</v>
      </c>
      <c r="L8" s="32">
        <v>0</v>
      </c>
      <c r="M8" s="32">
        <v>0</v>
      </c>
      <c r="N8" s="32">
        <v>0</v>
      </c>
      <c r="O8" s="25">
        <v>0</v>
      </c>
      <c r="P8" s="45">
        <f>SUM(D8:O8)</f>
        <v>0</v>
      </c>
    </row>
    <row r="9" spans="1:16">
      <c r="A9" s="77"/>
      <c r="B9" s="77"/>
      <c r="C9" s="42" t="s">
        <v>62</v>
      </c>
      <c r="D9" s="30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33">
        <v>0</v>
      </c>
      <c r="M9" s="33">
        <v>0</v>
      </c>
      <c r="N9" s="33">
        <v>0</v>
      </c>
      <c r="O9" s="26">
        <v>0</v>
      </c>
      <c r="P9" s="46">
        <f t="shared" ref="P9" si="2">SUM(D9:O9)</f>
        <v>0</v>
      </c>
    </row>
    <row r="10" spans="1:16" ht="16.5" thickBot="1">
      <c r="A10" s="78"/>
      <c r="B10" s="78"/>
      <c r="C10" s="43" t="s">
        <v>63</v>
      </c>
      <c r="D10" s="31">
        <f>SUM(D8:D9)</f>
        <v>0</v>
      </c>
      <c r="E10" s="34">
        <f t="shared" ref="E10:P10" si="3">SUM(E8:E9)</f>
        <v>0</v>
      </c>
      <c r="F10" s="34">
        <f t="shared" si="3"/>
        <v>0</v>
      </c>
      <c r="G10" s="34">
        <f t="shared" si="3"/>
        <v>0</v>
      </c>
      <c r="H10" s="34">
        <f t="shared" si="3"/>
        <v>0</v>
      </c>
      <c r="I10" s="34">
        <f t="shared" si="3"/>
        <v>0</v>
      </c>
      <c r="J10" s="34">
        <f t="shared" si="3"/>
        <v>0</v>
      </c>
      <c r="K10" s="34">
        <f t="shared" si="3"/>
        <v>0</v>
      </c>
      <c r="L10" s="34">
        <f t="shared" si="3"/>
        <v>0</v>
      </c>
      <c r="M10" s="34">
        <f t="shared" si="3"/>
        <v>0</v>
      </c>
      <c r="N10" s="34">
        <f t="shared" si="3"/>
        <v>0</v>
      </c>
      <c r="O10" s="27">
        <f t="shared" si="3"/>
        <v>0</v>
      </c>
      <c r="P10" s="47">
        <f t="shared" si="3"/>
        <v>0</v>
      </c>
    </row>
    <row r="11" spans="1:16">
      <c r="A11" s="76">
        <v>44446</v>
      </c>
      <c r="B11" s="79" t="s">
        <v>60</v>
      </c>
      <c r="C11" s="50" t="s">
        <v>61</v>
      </c>
      <c r="D11" s="24">
        <f>D5-D8</f>
        <v>13</v>
      </c>
      <c r="E11" s="24">
        <f t="shared" ref="E11:O11" si="4">E5-E8</f>
        <v>9</v>
      </c>
      <c r="F11" s="24">
        <f t="shared" si="4"/>
        <v>0</v>
      </c>
      <c r="G11" s="24">
        <f t="shared" si="4"/>
        <v>3</v>
      </c>
      <c r="H11" s="24">
        <f t="shared" si="4"/>
        <v>16</v>
      </c>
      <c r="I11" s="24">
        <f t="shared" si="4"/>
        <v>0</v>
      </c>
      <c r="J11" s="24">
        <f t="shared" si="4"/>
        <v>18</v>
      </c>
      <c r="K11" s="24">
        <f t="shared" si="4"/>
        <v>12</v>
      </c>
      <c r="L11" s="24">
        <f t="shared" si="4"/>
        <v>10</v>
      </c>
      <c r="M11" s="24">
        <f t="shared" si="4"/>
        <v>7</v>
      </c>
      <c r="N11" s="24">
        <f t="shared" si="4"/>
        <v>7</v>
      </c>
      <c r="O11" s="41">
        <f t="shared" si="4"/>
        <v>0</v>
      </c>
      <c r="P11" s="48">
        <f t="shared" ref="P11" si="5">P5-P8</f>
        <v>95</v>
      </c>
    </row>
    <row r="12" spans="1:16">
      <c r="A12" s="77"/>
      <c r="B12" s="77"/>
      <c r="C12" s="51" t="s">
        <v>62</v>
      </c>
      <c r="D12" s="20">
        <f>D6-D9</f>
        <v>14</v>
      </c>
      <c r="E12" s="20">
        <f t="shared" ref="E12:O12" si="6">E6-E9</f>
        <v>8</v>
      </c>
      <c r="F12" s="20">
        <f t="shared" si="6"/>
        <v>52</v>
      </c>
      <c r="G12" s="20">
        <f t="shared" si="6"/>
        <v>10</v>
      </c>
      <c r="H12" s="20">
        <f t="shared" si="6"/>
        <v>37</v>
      </c>
      <c r="I12" s="20">
        <f t="shared" si="6"/>
        <v>33</v>
      </c>
      <c r="J12" s="20">
        <f t="shared" si="6"/>
        <v>4</v>
      </c>
      <c r="K12" s="20">
        <f t="shared" si="6"/>
        <v>6</v>
      </c>
      <c r="L12" s="20">
        <f t="shared" si="6"/>
        <v>6</v>
      </c>
      <c r="M12" s="20">
        <f t="shared" si="6"/>
        <v>13</v>
      </c>
      <c r="N12" s="20">
        <f t="shared" si="6"/>
        <v>10</v>
      </c>
      <c r="O12" s="42">
        <f t="shared" si="6"/>
        <v>15</v>
      </c>
      <c r="P12" s="46">
        <f t="shared" ref="P12" si="7">P6-P9</f>
        <v>208</v>
      </c>
    </row>
    <row r="13" spans="1:16" ht="16.5" thickBot="1">
      <c r="A13" s="78"/>
      <c r="B13" s="78"/>
      <c r="C13" s="52" t="s">
        <v>63</v>
      </c>
      <c r="D13" s="21">
        <f>D7-D10</f>
        <v>27</v>
      </c>
      <c r="E13" s="21">
        <f t="shared" ref="E13:O13" si="8">E7-E10</f>
        <v>17</v>
      </c>
      <c r="F13" s="21">
        <f t="shared" si="8"/>
        <v>52</v>
      </c>
      <c r="G13" s="21">
        <f t="shared" si="8"/>
        <v>13</v>
      </c>
      <c r="H13" s="21">
        <f t="shared" si="8"/>
        <v>53</v>
      </c>
      <c r="I13" s="21">
        <f t="shared" si="8"/>
        <v>33</v>
      </c>
      <c r="J13" s="21">
        <f t="shared" si="8"/>
        <v>22</v>
      </c>
      <c r="K13" s="21">
        <f t="shared" si="8"/>
        <v>18</v>
      </c>
      <c r="L13" s="21">
        <f t="shared" si="8"/>
        <v>16</v>
      </c>
      <c r="M13" s="21">
        <f t="shared" si="8"/>
        <v>20</v>
      </c>
      <c r="N13" s="21">
        <f t="shared" si="8"/>
        <v>17</v>
      </c>
      <c r="O13" s="43">
        <f t="shared" si="8"/>
        <v>15</v>
      </c>
      <c r="P13" s="47">
        <f>P7-P10</f>
        <v>303</v>
      </c>
    </row>
    <row r="18" spans="1:16" ht="20.25">
      <c r="A18" s="75" t="s">
        <v>70</v>
      </c>
      <c r="B18" s="75"/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</row>
  </sheetData>
  <mergeCells count="11">
    <mergeCell ref="A1:P1"/>
    <mergeCell ref="A3:C4"/>
    <mergeCell ref="D3:O3"/>
    <mergeCell ref="P3:P4"/>
    <mergeCell ref="A5:B7"/>
    <mergeCell ref="A2:P2"/>
    <mergeCell ref="A18:P18"/>
    <mergeCell ref="A11:A13"/>
    <mergeCell ref="B11:B13"/>
    <mergeCell ref="A8:A10"/>
    <mergeCell ref="B8:B10"/>
  </mergeCells>
  <pageMargins left="0.19685039370078741" right="0.19685039370078741" top="0.78740157480314965" bottom="0.19685039370078741" header="0" footer="0"/>
  <pageSetup paperSize="9" scale="94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Замена рельсов</vt:lpstr>
      <vt:lpstr>Сводная смена рубок</vt:lpstr>
      <vt:lpstr>'Замена рельсов'!Заголовки_для_печати</vt:lpstr>
      <vt:lpstr>'Замена рельсов'!Область_печати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uvarovpv</dc:creator>
  <cp:lastModifiedBy>PCH9_SizovIS</cp:lastModifiedBy>
  <cp:lastPrinted>2021-04-02T03:32:00Z</cp:lastPrinted>
  <dcterms:created xsi:type="dcterms:W3CDTF">2018-01-30T10:07:39Z</dcterms:created>
  <dcterms:modified xsi:type="dcterms:W3CDTF">2021-09-07T05:11:16Z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Отчетная форма по изъятию удлиненных рельсов (МОСКВА).xlsx</vt:lpwstr>
  </property>
</Properties>
</file>