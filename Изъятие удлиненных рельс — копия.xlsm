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-105" yWindow="-105" windowWidth="19335" windowHeight="7725"/>
  </bookViews>
  <sheets>
    <sheet name="Замена рельсов" sheetId="4" r:id="rId1"/>
    <sheet name="Сводная смена рубок" sheetId="6" r:id="rId2"/>
  </sheet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</externalReferences>
  <definedNames>
    <definedName name="\">[1]Данные!$J$1:$J$3</definedName>
    <definedName name="_xlnm._FilterDatabase" localSheetId="0" hidden="1">'Замена рельсов'!$A$18:$N$243</definedName>
    <definedName name="napravl">[2]списки!$B$2:$B$172</definedName>
    <definedName name="neisp">[2]списки!$F$2:$F$20</definedName>
    <definedName name="pch">[2]списки!$E$2:$E$35</definedName>
    <definedName name="reg">[3]списки!$D$2:$D$8</definedName>
    <definedName name="vust">[2]списки!$H$2:$H$25</definedName>
    <definedName name="гво">[4]Данные!$D$1:$D$3</definedName>
    <definedName name="гео">[4]Данные!$J$1:$J$3</definedName>
    <definedName name="дарья">#REF!</definedName>
    <definedName name="Дата">#REF!</definedName>
    <definedName name="жэ">[1]Данные!$D$1:$D$3</definedName>
    <definedName name="_xlnm.Print_Titles" localSheetId="0">'Замена рельсов'!$16:$18</definedName>
    <definedName name="л">#REF!</definedName>
    <definedName name="люба">#REF!</definedName>
    <definedName name="Напр">#REF!</definedName>
    <definedName name="НаправленияВсе">#REF!</definedName>
    <definedName name="нее">[5]Данные!$G$1:$G$33</definedName>
    <definedName name="Неиспр">OFFSET(#REF!,0,0,COUNTA(#REF!),1)</definedName>
    <definedName name="нч_п" localSheetId="1">#REF!</definedName>
    <definedName name="нч_п">#REF!</definedName>
    <definedName name="_xlnm.Print_Area" localSheetId="0">'Замена рельсов'!$A$14:$N$263</definedName>
    <definedName name="ООО">#REF!</definedName>
    <definedName name="пп">[6]Данные!$D$1:$D$3</definedName>
    <definedName name="Приказ">#REF!</definedName>
    <definedName name="Проверка">#REF!</definedName>
    <definedName name="ПС">#REF!</definedName>
    <definedName name="ПЧ">#REF!</definedName>
    <definedName name="Регион">#REF!</definedName>
    <definedName name="цп">[7]Данные!$D$1:$D$3</definedName>
    <definedName name="ч_п" localSheetId="1">#REF!</definedName>
    <definedName name="ч_п">#REF!</definedName>
    <definedName name="Шпалы">#REF!</definedName>
    <definedName name="ы">#REF!</definedName>
  </definedNames>
  <calcPr calcId="125725" refMode="R1C1"/>
</workbook>
</file>

<file path=xl/calcChain.xml><?xml version="1.0" encoding="utf-8"?>
<calcChain xmlns="http://schemas.openxmlformats.org/spreadsheetml/2006/main">
  <c r="A2" i="6"/>
  <c r="E11" l="1"/>
  <c r="F11"/>
  <c r="G11"/>
  <c r="H11"/>
  <c r="I11"/>
  <c r="J11"/>
  <c r="K11"/>
  <c r="L11"/>
  <c r="M11"/>
  <c r="N11"/>
  <c r="O11"/>
  <c r="E12"/>
  <c r="F12"/>
  <c r="G12"/>
  <c r="H12"/>
  <c r="I12"/>
  <c r="J12"/>
  <c r="K12"/>
  <c r="L12"/>
  <c r="M12"/>
  <c r="N12"/>
  <c r="O12"/>
  <c r="D12"/>
  <c r="D11"/>
  <c r="D7" l="1"/>
  <c r="E7"/>
  <c r="F7"/>
  <c r="G7"/>
  <c r="H7"/>
  <c r="I7"/>
  <c r="J7"/>
  <c r="K7"/>
  <c r="L7"/>
  <c r="M7"/>
  <c r="N7"/>
  <c r="O7"/>
  <c r="E10" l="1"/>
  <c r="E13" s="1"/>
  <c r="F10"/>
  <c r="F13" s="1"/>
  <c r="G10"/>
  <c r="G13" s="1"/>
  <c r="H10"/>
  <c r="H13" s="1"/>
  <c r="I10"/>
  <c r="I13" s="1"/>
  <c r="J10"/>
  <c r="J13" s="1"/>
  <c r="K10"/>
  <c r="K13" s="1"/>
  <c r="L10"/>
  <c r="L13" s="1"/>
  <c r="M10"/>
  <c r="M13" s="1"/>
  <c r="N10"/>
  <c r="N13" s="1"/>
  <c r="O10"/>
  <c r="O13" s="1"/>
  <c r="D10"/>
  <c r="D13" s="1"/>
  <c r="P9"/>
  <c r="P8"/>
  <c r="P6"/>
  <c r="P5"/>
  <c r="P7"/>
  <c r="P11" l="1"/>
  <c r="P10"/>
  <c r="P13" s="1"/>
  <c r="P12"/>
</calcChain>
</file>

<file path=xl/sharedStrings.xml><?xml version="1.0" encoding="utf-8"?>
<sst xmlns="http://schemas.openxmlformats.org/spreadsheetml/2006/main" count="569" uniqueCount="68">
  <si>
    <t>Перегон, станция</t>
  </si>
  <si>
    <t>Путь</t>
  </si>
  <si>
    <t>ПК</t>
  </si>
  <si>
    <t>№п/п</t>
  </si>
  <si>
    <t xml:space="preserve">Дата замены </t>
  </si>
  <si>
    <t>км</t>
  </si>
  <si>
    <t>МВВП</t>
  </si>
  <si>
    <t>уравнительный рельс</t>
  </si>
  <si>
    <t>звеньевой путь</t>
  </si>
  <si>
    <t>Привязка рельса (путь,км,пк,м)</t>
  </si>
  <si>
    <t>Нитка</t>
  </si>
  <si>
    <t>БП-1634 - Кабарга</t>
  </si>
  <si>
    <t>П</t>
  </si>
  <si>
    <t/>
  </si>
  <si>
    <t>Л</t>
  </si>
  <si>
    <t>ст. Кабарга</t>
  </si>
  <si>
    <t>Кабарга - Шмаковка</t>
  </si>
  <si>
    <t>ст. Шмаковка</t>
  </si>
  <si>
    <t>Шмаковка - Сунгач</t>
  </si>
  <si>
    <t>ст. Сунгач</t>
  </si>
  <si>
    <t>Сунгач - Свиягино</t>
  </si>
  <si>
    <t>ст. Свиягино</t>
  </si>
  <si>
    <t>Свиягино - Спасск-Дальний</t>
  </si>
  <si>
    <t>ст. Спасск-Дальний</t>
  </si>
  <si>
    <t>ст. Старый Ключ</t>
  </si>
  <si>
    <t>Старый Ключ - Кнорринг</t>
  </si>
  <si>
    <t>ст. Кнорринг</t>
  </si>
  <si>
    <t>Кнорринг - Мучная</t>
  </si>
  <si>
    <t>ст. Мучная</t>
  </si>
  <si>
    <t>Мучная - Сибирцево</t>
  </si>
  <si>
    <t>"_____" _______________ 2019 г.</t>
  </si>
  <si>
    <t>Дальневосточной дирекции инфраструктуры</t>
  </si>
  <si>
    <t>В.В. Минаев</t>
  </si>
  <si>
    <t>Первый заместитель начальника службы пути</t>
  </si>
  <si>
    <t>СОГЛАСОВАНО:</t>
  </si>
  <si>
    <t>ПД</t>
  </si>
  <si>
    <t>Изъятие удлиненных рельс, штук рельс</t>
  </si>
  <si>
    <t>ПЧ-9</t>
  </si>
  <si>
    <t>Требуется</t>
  </si>
  <si>
    <t>Осталось</t>
  </si>
  <si>
    <t>в ур.пролетах</t>
  </si>
  <si>
    <t>в местах МВВ</t>
  </si>
  <si>
    <t>всего</t>
  </si>
  <si>
    <t>Заменено</t>
  </si>
  <si>
    <t>ПД-1</t>
  </si>
  <si>
    <t>ПД-2</t>
  </si>
  <si>
    <t>ПД-3</t>
  </si>
  <si>
    <t>ПД-5</t>
  </si>
  <si>
    <t>ПД-6</t>
  </si>
  <si>
    <t>ПД-7</t>
  </si>
  <si>
    <t>ПД-9</t>
  </si>
  <si>
    <t>ПД-10</t>
  </si>
  <si>
    <t>ПД-11</t>
  </si>
  <si>
    <t>ПД-12</t>
  </si>
  <si>
    <t>ПД-13</t>
  </si>
  <si>
    <t>ПД-14</t>
  </si>
  <si>
    <t>Место расположения рельса</t>
  </si>
  <si>
    <t>Начальник Спасск-Дальненской дистанции пути                                          С.А. Давыденко</t>
  </si>
  <si>
    <t>Начальник Спасск-Дальненской дистанции пути                                        С.А. Давыденко</t>
  </si>
  <si>
    <t>п</t>
  </si>
  <si>
    <t>ст.Мучная</t>
  </si>
  <si>
    <t>Планируемая дата ИЗЪЯТИЯ удлиненного рельса</t>
  </si>
  <si>
    <t>уложенного осенью</t>
  </si>
  <si>
    <t>Изъятие удлиненных рельс в границе Спасск-Дальненской дистанции пути</t>
  </si>
  <si>
    <t>май</t>
  </si>
  <si>
    <r>
      <t>Наличие уравнительных пролетов и МВВП с несмененными рубками</t>
    </r>
    <r>
      <rPr>
        <b/>
        <u/>
        <sz val="24"/>
        <color indexed="8"/>
        <rFont val="Times New Roman"/>
        <family val="1"/>
        <charset val="204"/>
      </rPr>
      <t xml:space="preserve">
</t>
    </r>
    <r>
      <rPr>
        <b/>
        <sz val="24"/>
        <color indexed="8"/>
        <rFont val="Times New Roman"/>
        <family val="1"/>
        <charset val="204"/>
      </rPr>
      <t>по состоянию на 02.04.2021 г.</t>
    </r>
  </si>
  <si>
    <t>Необходимо уложить рельс</t>
  </si>
  <si>
    <t>Длина рельса</t>
  </si>
</sst>
</file>

<file path=xl/styles.xml><?xml version="1.0" encoding="utf-8"?>
<styleSheet xmlns="http://schemas.openxmlformats.org/spreadsheetml/2006/main">
  <numFmts count="1">
    <numFmt numFmtId="164" formatCode="_(&quot;$&quot;* #,##0.00_);_(&quot;$&quot;* \(#,##0.00\);_(&quot;$&quot;* &quot;-&quot;??_);_(@_)"/>
  </numFmts>
  <fonts count="28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"/>
      <family val="2"/>
      <charset val="204"/>
    </font>
    <font>
      <sz val="11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0"/>
      <color theme="1"/>
      <name val="Arial"/>
      <family val="2"/>
      <charset val="204"/>
    </font>
    <font>
      <b/>
      <sz val="18"/>
      <color indexed="8"/>
      <name val="Times New Roman"/>
      <family val="1"/>
      <charset val="204"/>
    </font>
    <font>
      <sz val="18"/>
      <color indexed="8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0"/>
      <name val="Arial Cyr"/>
      <family val="2"/>
      <charset val="204"/>
    </font>
    <font>
      <sz val="14"/>
      <name val="Times New Roman"/>
      <family val="1"/>
      <charset val="204"/>
    </font>
    <font>
      <b/>
      <sz val="24"/>
      <color indexed="8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b/>
      <u/>
      <sz val="24"/>
      <color indexed="8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6"/>
      <name val="Times New Roman"/>
      <family val="1"/>
      <charset val="204"/>
    </font>
    <font>
      <sz val="10"/>
      <name val="Arial"/>
      <family val="2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sz val="11"/>
      <color rgb="FF000000"/>
      <name val="Calibri"/>
      <family val="2"/>
      <charset val="204"/>
      <scheme val="minor"/>
    </font>
    <font>
      <sz val="16"/>
      <color theme="1"/>
      <name val="Times New Roman"/>
      <family val="1"/>
      <charset val="204"/>
    </font>
    <font>
      <b/>
      <sz val="20"/>
      <name val="Times New Roman"/>
      <family val="1"/>
      <charset val="204"/>
    </font>
  </fonts>
  <fills count="2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88">
    <xf numFmtId="0" fontId="0" fillId="0" borderId="0"/>
    <xf numFmtId="0" fontId="3" fillId="0" borderId="0"/>
    <xf numFmtId="0" fontId="3" fillId="0" borderId="0"/>
    <xf numFmtId="0" fontId="4" fillId="0" borderId="0"/>
    <xf numFmtId="0" fontId="12" fillId="2" borderId="0" applyNumberFormat="0" applyBorder="0" applyAlignment="0" applyProtection="0"/>
    <xf numFmtId="0" fontId="12" fillId="3" borderId="0" applyNumberFormat="0" applyBorder="0" applyAlignment="0" applyProtection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5" borderId="0" applyNumberFormat="0" applyBorder="0" applyAlignment="0" applyProtection="0"/>
    <xf numFmtId="0" fontId="12" fillId="8" borderId="0" applyNumberFormat="0" applyBorder="0" applyAlignment="0" applyProtection="0"/>
    <xf numFmtId="0" fontId="12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3" fillId="0" borderId="0"/>
    <xf numFmtId="0" fontId="1" fillId="0" borderId="0"/>
    <xf numFmtId="0" fontId="1" fillId="0" borderId="0"/>
    <xf numFmtId="0" fontId="3" fillId="0" borderId="0"/>
    <xf numFmtId="0" fontId="14" fillId="0" borderId="0"/>
    <xf numFmtId="0" fontId="4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1" fillId="0" borderId="0"/>
    <xf numFmtId="0" fontId="3" fillId="0" borderId="0"/>
    <xf numFmtId="0" fontId="4" fillId="0" borderId="0"/>
    <xf numFmtId="0" fontId="21" fillId="0" borderId="0"/>
    <xf numFmtId="164" fontId="4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</cellStyleXfs>
  <cellXfs count="98">
    <xf numFmtId="0" fontId="0" fillId="0" borderId="0" xfId="0"/>
    <xf numFmtId="0" fontId="5" fillId="0" borderId="0" xfId="2" applyFont="1"/>
    <xf numFmtId="0" fontId="9" fillId="0" borderId="0" xfId="2" applyFont="1" applyAlignment="1">
      <alignment horizontal="center" vertical="center" wrapText="1"/>
    </xf>
    <xf numFmtId="1" fontId="9" fillId="0" borderId="0" xfId="2" applyNumberFormat="1" applyFont="1" applyAlignment="1">
      <alignment horizontal="center" vertical="center" wrapText="1"/>
    </xf>
    <xf numFmtId="0" fontId="3" fillId="0" borderId="0" xfId="2"/>
    <xf numFmtId="0" fontId="9" fillId="0" borderId="0" xfId="2" applyFont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0" borderId="0" xfId="0" applyFont="1" applyFill="1" applyAlignment="1">
      <alignment horizontal="center" vertical="center" wrapText="1"/>
    </xf>
    <xf numFmtId="0" fontId="8" fillId="0" borderId="0" xfId="2" applyFont="1" applyAlignment="1">
      <alignment horizontal="center" vertical="center"/>
    </xf>
    <xf numFmtId="0" fontId="17" fillId="0" borderId="0" xfId="0" applyFont="1" applyFill="1" applyBorder="1" applyAlignment="1">
      <alignment vertical="center"/>
    </xf>
    <xf numFmtId="0" fontId="3" fillId="0" borderId="0" xfId="2" applyFill="1" applyAlignment="1">
      <alignment wrapText="1"/>
    </xf>
    <xf numFmtId="0" fontId="17" fillId="0" borderId="7" xfId="0" applyFont="1" applyBorder="1" applyAlignment="1">
      <alignment vertical="center"/>
    </xf>
    <xf numFmtId="0" fontId="17" fillId="0" borderId="7" xfId="0" applyFont="1" applyFill="1" applyBorder="1" applyAlignment="1">
      <alignment horizontal="center" vertical="center" wrapText="1"/>
    </xf>
    <xf numFmtId="0" fontId="22" fillId="0" borderId="0" xfId="0" applyFont="1"/>
    <xf numFmtId="0" fontId="22" fillId="0" borderId="0" xfId="0" applyFont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20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2" fillId="0" borderId="24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3" fillId="0" borderId="11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0" fontId="23" fillId="0" borderId="27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2" fillId="0" borderId="27" xfId="0" applyFont="1" applyBorder="1" applyAlignment="1">
      <alignment horizontal="center" vertical="center"/>
    </xf>
    <xf numFmtId="0" fontId="22" fillId="0" borderId="28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31" xfId="0" applyFont="1" applyBorder="1" applyAlignment="1">
      <alignment horizontal="center" vertical="center"/>
    </xf>
    <xf numFmtId="0" fontId="22" fillId="0" borderId="32" xfId="0" applyFont="1" applyBorder="1" applyAlignment="1">
      <alignment horizontal="center" vertical="center"/>
    </xf>
    <xf numFmtId="0" fontId="22" fillId="0" borderId="33" xfId="0" applyFont="1" applyBorder="1" applyAlignment="1">
      <alignment horizontal="center" vertical="center"/>
    </xf>
    <xf numFmtId="0" fontId="3" fillId="0" borderId="0" xfId="2" applyFill="1" applyAlignment="1">
      <alignment wrapText="1"/>
    </xf>
    <xf numFmtId="0" fontId="15" fillId="0" borderId="1" xfId="2" applyFont="1" applyFill="1" applyBorder="1" applyAlignment="1">
      <alignment horizontal="center" vertical="center" wrapText="1"/>
    </xf>
    <xf numFmtId="0" fontId="20" fillId="0" borderId="1" xfId="2" applyFont="1" applyFill="1" applyBorder="1" applyAlignment="1">
      <alignment horizontal="center" vertical="center" wrapText="1"/>
    </xf>
    <xf numFmtId="2" fontId="15" fillId="0" borderId="1" xfId="2" applyNumberFormat="1" applyFont="1" applyFill="1" applyBorder="1" applyAlignment="1">
      <alignment horizontal="center" vertical="center"/>
    </xf>
    <xf numFmtId="0" fontId="19" fillId="0" borderId="1" xfId="2" applyFont="1" applyFill="1" applyBorder="1" applyAlignment="1">
      <alignment horizontal="center" vertical="center" wrapText="1"/>
    </xf>
    <xf numFmtId="0" fontId="3" fillId="0" borderId="0" xfId="2" applyFill="1" applyAlignment="1">
      <alignment wrapText="1"/>
    </xf>
    <xf numFmtId="14" fontId="15" fillId="0" borderId="1" xfId="2" applyNumberFormat="1" applyFont="1" applyFill="1" applyBorder="1" applyAlignment="1">
      <alignment horizontal="center" vertical="center"/>
    </xf>
    <xf numFmtId="0" fontId="15" fillId="0" borderId="1" xfId="2" applyFont="1" applyFill="1" applyBorder="1" applyAlignment="1">
      <alignment horizontal="center" wrapText="1"/>
    </xf>
    <xf numFmtId="14" fontId="15" fillId="19" borderId="1" xfId="2" applyNumberFormat="1" applyFont="1" applyFill="1" applyBorder="1" applyAlignment="1">
      <alignment horizontal="center" vertical="center"/>
    </xf>
    <xf numFmtId="0" fontId="15" fillId="19" borderId="1" xfId="2" applyFont="1" applyFill="1" applyBorder="1" applyAlignment="1">
      <alignment horizontal="center" vertical="center" wrapText="1"/>
    </xf>
    <xf numFmtId="14" fontId="9" fillId="0" borderId="0" xfId="2" applyNumberFormat="1" applyFont="1" applyAlignment="1">
      <alignment horizontal="center" vertical="center" wrapText="1"/>
    </xf>
    <xf numFmtId="0" fontId="10" fillId="16" borderId="1" xfId="2" applyFont="1" applyFill="1" applyBorder="1" applyAlignment="1">
      <alignment horizontal="center" vertical="center" wrapText="1"/>
    </xf>
    <xf numFmtId="0" fontId="10" fillId="16" borderId="1" xfId="2" applyFont="1" applyFill="1" applyBorder="1" applyAlignment="1">
      <alignment horizontal="center" vertical="center" wrapText="1"/>
    </xf>
    <xf numFmtId="0" fontId="10" fillId="16" borderId="1" xfId="2" applyFont="1" applyFill="1" applyBorder="1" applyAlignment="1">
      <alignment horizontal="center" vertical="center" wrapText="1"/>
    </xf>
    <xf numFmtId="0" fontId="10" fillId="18" borderId="8" xfId="2" applyFont="1" applyFill="1" applyBorder="1" applyAlignment="1">
      <alignment horizontal="center" vertical="center" wrapText="1"/>
    </xf>
    <xf numFmtId="0" fontId="10" fillId="18" borderId="25" xfId="2" applyFont="1" applyFill="1" applyBorder="1" applyAlignment="1">
      <alignment horizontal="center" vertical="center" wrapText="1"/>
    </xf>
    <xf numFmtId="0" fontId="27" fillId="0" borderId="0" xfId="2" applyFont="1" applyAlignment="1">
      <alignment horizontal="center"/>
    </xf>
    <xf numFmtId="0" fontId="10" fillId="18" borderId="1" xfId="2" applyFont="1" applyFill="1" applyBorder="1" applyAlignment="1">
      <alignment horizontal="center" vertical="center" wrapText="1"/>
    </xf>
    <xf numFmtId="0" fontId="10" fillId="16" borderId="1" xfId="2" applyFont="1" applyFill="1" applyBorder="1" applyAlignment="1">
      <alignment horizontal="center" vertical="center" wrapText="1"/>
    </xf>
    <xf numFmtId="0" fontId="16" fillId="0" borderId="0" xfId="2" applyFont="1" applyAlignment="1">
      <alignment horizontal="center" vertical="center" wrapText="1"/>
    </xf>
    <xf numFmtId="0" fontId="11" fillId="16" borderId="1" xfId="2" applyFont="1" applyFill="1" applyBorder="1" applyAlignment="1">
      <alignment horizontal="center" vertical="center" wrapText="1"/>
    </xf>
    <xf numFmtId="0" fontId="11" fillId="17" borderId="1" xfId="2" applyFont="1" applyFill="1" applyBorder="1" applyAlignment="1">
      <alignment horizontal="center" vertical="center" wrapText="1"/>
    </xf>
    <xf numFmtId="1" fontId="10" fillId="16" borderId="1" xfId="2" applyNumberFormat="1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2" fillId="0" borderId="10" xfId="0" applyFont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horizontal="center" vertical="center" wrapText="1"/>
    </xf>
    <xf numFmtId="0" fontId="22" fillId="0" borderId="4" xfId="0" applyFont="1" applyBorder="1" applyAlignment="1">
      <alignment horizontal="center" vertical="center" wrapText="1"/>
    </xf>
    <xf numFmtId="0" fontId="22" fillId="0" borderId="6" xfId="0" applyFont="1" applyBorder="1" applyAlignment="1">
      <alignment horizontal="center" vertical="center" wrapText="1"/>
    </xf>
    <xf numFmtId="0" fontId="23" fillId="0" borderId="13" xfId="0" applyFont="1" applyBorder="1" applyAlignment="1">
      <alignment horizontal="center" vertical="center"/>
    </xf>
    <xf numFmtId="0" fontId="23" fillId="0" borderId="11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19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14" fontId="22" fillId="0" borderId="15" xfId="0" applyNumberFormat="1" applyFont="1" applyBorder="1" applyAlignment="1">
      <alignment horizontal="center" vertical="center"/>
    </xf>
    <xf numFmtId="0" fontId="22" fillId="0" borderId="27" xfId="0" applyFont="1" applyBorder="1" applyAlignment="1">
      <alignment horizontal="center" vertical="center"/>
    </xf>
    <xf numFmtId="0" fontId="22" fillId="0" borderId="28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</cellXfs>
  <cellStyles count="88">
    <cellStyle name="20% — акцент1" xfId="4"/>
    <cellStyle name="20% — акцент2" xfId="5"/>
    <cellStyle name="20% — акцент3" xfId="6"/>
    <cellStyle name="20% — акцент4" xfId="7"/>
    <cellStyle name="20% — акцент5" xfId="8"/>
    <cellStyle name="20% — акцент6" xfId="9"/>
    <cellStyle name="40% — акцент1" xfId="10"/>
    <cellStyle name="40% — акцент2" xfId="11"/>
    <cellStyle name="40% — акцент3" xfId="12"/>
    <cellStyle name="40% — акцент4" xfId="13"/>
    <cellStyle name="40% — акцент5" xfId="14"/>
    <cellStyle name="40% — акцент6" xfId="15"/>
    <cellStyle name="60% — акцент1" xfId="16"/>
    <cellStyle name="60% — акцент2" xfId="17"/>
    <cellStyle name="60% — акцент3" xfId="18"/>
    <cellStyle name="60% — акцент4" xfId="19"/>
    <cellStyle name="60% — акцент5" xfId="20"/>
    <cellStyle name="60% — акцент6" xfId="21"/>
    <cellStyle name="Денежный 2" xfId="67"/>
    <cellStyle name="Обычный" xfId="0" builtinId="0"/>
    <cellStyle name="Обычный 10" xfId="2"/>
    <cellStyle name="Обычный 10 2" xfId="22"/>
    <cellStyle name="Обычный 14" xfId="23"/>
    <cellStyle name="Обычный 2" xfId="1"/>
    <cellStyle name="Обычный 2 10" xfId="24"/>
    <cellStyle name="Обычный 2 2" xfId="25"/>
    <cellStyle name="Обычный 2 2 2" xfId="26"/>
    <cellStyle name="Обычный 2 3" xfId="27"/>
    <cellStyle name="Обычный 2 4" xfId="28"/>
    <cellStyle name="Обычный 2 5" xfId="29"/>
    <cellStyle name="Обычный 2 6" xfId="30"/>
    <cellStyle name="Обычный 2 7" xfId="31"/>
    <cellStyle name="Обычный 2 8" xfId="32"/>
    <cellStyle name="Обычный 2 9" xfId="33"/>
    <cellStyle name="Обычный 23" xfId="34"/>
    <cellStyle name="Обычный 24" xfId="35"/>
    <cellStyle name="Обычный 25" xfId="36"/>
    <cellStyle name="Обычный 26" xfId="37"/>
    <cellStyle name="Обычный 28" xfId="38"/>
    <cellStyle name="Обычный 29" xfId="39"/>
    <cellStyle name="Обычный 3" xfId="3"/>
    <cellStyle name="Обычный 3 2" xfId="40"/>
    <cellStyle name="Обычный 3 3" xfId="64"/>
    <cellStyle name="Обычный 31" xfId="41"/>
    <cellStyle name="Обычный 32" xfId="42"/>
    <cellStyle name="Обычный 33" xfId="43"/>
    <cellStyle name="Обычный 34" xfId="44"/>
    <cellStyle name="Обычный 35" xfId="45"/>
    <cellStyle name="Обычный 36" xfId="46"/>
    <cellStyle name="Обычный 38" xfId="47"/>
    <cellStyle name="Обычный 39" xfId="48"/>
    <cellStyle name="Обычный 4" xfId="49"/>
    <cellStyle name="Обычный 4 10" xfId="68"/>
    <cellStyle name="Обычный 4 2" xfId="50"/>
    <cellStyle name="Обычный 4 2 2" xfId="69"/>
    <cellStyle name="Обычный 4 2 2 2" xfId="70"/>
    <cellStyle name="Обычный 4 2 3" xfId="71"/>
    <cellStyle name="Обычный 4 2 3 2" xfId="72"/>
    <cellStyle name="Обычный 4 2 4" xfId="73"/>
    <cellStyle name="Обычный 4 3" xfId="74"/>
    <cellStyle name="Обычный 4 3 2" xfId="75"/>
    <cellStyle name="Обычный 4 4" xfId="76"/>
    <cellStyle name="Обычный 4 4 2" xfId="77"/>
    <cellStyle name="Обычный 4 5" xfId="78"/>
    <cellStyle name="Обычный 4 5 2" xfId="79"/>
    <cellStyle name="Обычный 4 6" xfId="80"/>
    <cellStyle name="Обычный 4 7" xfId="81"/>
    <cellStyle name="Обычный 4 8" xfId="82"/>
    <cellStyle name="Обычный 4 9" xfId="83"/>
    <cellStyle name="Обычный 40" xfId="51"/>
    <cellStyle name="Обычный 41" xfId="52"/>
    <cellStyle name="Обычный 42" xfId="53"/>
    <cellStyle name="Обычный 43" xfId="54"/>
    <cellStyle name="Обычный 44" xfId="55"/>
    <cellStyle name="Обычный 46" xfId="56"/>
    <cellStyle name="Обычный 47" xfId="57"/>
    <cellStyle name="Обычный 5" xfId="58"/>
    <cellStyle name="Обычный 5 2" xfId="65"/>
    <cellStyle name="Обычный 5 2 2" xfId="84"/>
    <cellStyle name="Обычный 5 3" xfId="85"/>
    <cellStyle name="Обычный 6" xfId="66"/>
    <cellStyle name="Обычный 6 2" xfId="87"/>
    <cellStyle name="Обычный 63" xfId="59"/>
    <cellStyle name="Обычный 64" xfId="60"/>
    <cellStyle name="Обычный 65" xfId="61"/>
    <cellStyle name="Обычный 7" xfId="62"/>
    <cellStyle name="Обычный 8" xfId="63"/>
    <cellStyle name="Процентный 2" xfId="8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3.xml"/><Relationship Id="rId10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&#1056;&#1072;&#1073;&#1086;&#1095;&#1080;&#1081;%20&#1089;&#1090;&#1086;&#1083;/&#1054;&#1058;&#1063;&#1045;&#1058;&#1067;%20&#1077;&#1078;&#1077;&#1089;&#1091;&#1090;&#1086;&#1095;&#1085;&#1099;&#1077;/&#1054;&#1082;&#1090;&#1103;&#1073;&#1088;&#1100;/07.10.17/&#1054;&#1044;&#1055;%20&#1072;&#1087;&#1088;&#1077;&#1083;&#1100;%202017%20(2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&#1054;&#1058;&#1044;&#1045;&#1051;&#1067;\!&#1054;&#1040;&#1057;&#1055;\&#1056;&#1072;&#1073;&#1086;&#1090;&#1072;%20&#1062;&#1053;&#1048;&#1048;-4\&#1057;&#1091;&#1090;&#1082;&#1080;\2014\09%20&#1089;&#1077;&#1085;&#1090;&#1103;&#1073;&#1088;&#1100;\11.09.14\&#1054;&#1075;&#1088;&#1072;&#1085;&#1080;&#1095;&#1077;&#1085;&#1080;&#1103;%20&#1089;&#1077;&#1085;&#1090;&#1103;&#1073;&#1088;&#1100;%202014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&#1054;&#1058;&#1044;&#1045;&#1051;&#1067;\!&#1054;&#1040;&#1057;&#1055;\&#1056;&#1072;&#1073;&#1086;&#1090;&#1072;%20&#1062;&#1053;&#1048;&#1048;-4\&#1057;&#1091;&#1090;&#1082;&#1080;\2014\09%20&#1089;&#1077;&#1085;&#1090;&#1103;&#1073;&#1088;&#1100;\15.09.14\&#1053;&#1072;%20&#1089;&#1077;&#1088;&#1074;&#1077;&#1088;_2014_09_14\&#1044;&#1083;&#1103;%20&#1055;&#1062;&#1044;\&#1054;&#1075;&#1088;&#1072;&#1085;&#1080;&#1095;&#1077;&#1085;&#1080;&#1103;%20&#1089;&#1077;&#1085;&#1090;&#1103;&#1073;&#1088;&#1100;%202014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&#1056;&#1072;&#1073;&#1086;&#1095;&#1080;&#1081;%20&#1089;&#1090;&#1086;&#1083;/&#1054;&#1058;&#1063;&#1045;&#1058;&#1067;%20&#1077;&#1078;&#1077;&#1089;&#1091;&#1090;&#1086;&#1095;&#1085;&#1099;&#1077;/&#1054;&#1082;&#1090;&#1103;&#1073;&#1088;&#1100;/07.10.17/&#1054;&#1044;&#1055;%20&#1072;&#1087;&#1088;&#1077;&#1083;&#1100;%202017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9T4IFG81/odp%20&#1055;&#1057;%20&#1072;&#1087;&#1088;&#1077;&#1083;&#1100;%20&#1055;&#1057;%20007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3MV636YE/odp%20&#1055;&#1057;%20043%20%20&#1072;&#1087;&#1088;&#1077;&#1083;&#1100;%201%20&#1089;&#1084;&#1077;&#1085;&#1072;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3MV636YE/odp%20&#1055;&#1057;%20&#1072;&#1087;&#1077;&#1088;&#1083;&#1100;%20&#1055;&#1057;%20007%20(4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  <cell r="J1" t="str">
            <v>р</v>
          </cell>
        </row>
        <row r="2">
          <cell r="D2" t="str">
            <v>ж/б до 1996 г.</v>
          </cell>
          <cell r="J2" t="str">
            <v>к</v>
          </cell>
        </row>
        <row r="3">
          <cell r="D3" t="str">
            <v>ж/б после 1996 г.</v>
          </cell>
          <cell r="J3" t="str">
            <v>д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Ограничения скорости ЦП-515"/>
      <sheetName val="Ведомость отступлений доп.парам"/>
      <sheetName val="списки"/>
    </sheetNames>
    <sheetDataSet>
      <sheetData sheetId="0"/>
      <sheetData sheetId="1"/>
      <sheetData sheetId="2">
        <row r="2">
          <cell r="B2" t="str">
            <v>Москва-Александров</v>
          </cell>
          <cell r="E2">
            <v>1</v>
          </cell>
          <cell r="F2" t="str">
            <v>зазор л</v>
          </cell>
          <cell r="H2" t="str">
            <v>140/90</v>
          </cell>
        </row>
        <row r="3">
          <cell r="B3" t="str">
            <v>Софрино-Красноармейск</v>
          </cell>
          <cell r="E3">
            <v>2</v>
          </cell>
          <cell r="F3" t="str">
            <v>зазор п</v>
          </cell>
          <cell r="H3" t="str">
            <v>140/80</v>
          </cell>
        </row>
        <row r="4">
          <cell r="B4" t="str">
            <v>Москва-Петушки</v>
          </cell>
          <cell r="E4">
            <v>5</v>
          </cell>
          <cell r="F4" t="str">
            <v>износ рельса бок.</v>
          </cell>
          <cell r="H4" t="str">
            <v>130/80</v>
          </cell>
        </row>
        <row r="5">
          <cell r="B5" t="str">
            <v>Дрезна-Орехово</v>
          </cell>
          <cell r="E5">
            <v>7</v>
          </cell>
          <cell r="F5" t="str">
            <v>уширение</v>
          </cell>
          <cell r="H5" t="str">
            <v>120/80</v>
          </cell>
        </row>
        <row r="6">
          <cell r="B6" t="str">
            <v>Орехово-Воиново</v>
          </cell>
          <cell r="E6">
            <v>8</v>
          </cell>
          <cell r="F6" t="str">
            <v>сужение</v>
          </cell>
          <cell r="H6" t="str">
            <v>115/80</v>
          </cell>
        </row>
        <row r="7">
          <cell r="B7" t="str">
            <v>Реутово-Балашиха</v>
          </cell>
          <cell r="E7">
            <v>9</v>
          </cell>
          <cell r="F7" t="str">
            <v>перекос</v>
          </cell>
          <cell r="H7" t="str">
            <v>110/80</v>
          </cell>
        </row>
        <row r="8">
          <cell r="B8" t="str">
            <v>Фрязево-Захарово</v>
          </cell>
          <cell r="E8">
            <v>11</v>
          </cell>
          <cell r="F8" t="str">
            <v>рихтовка</v>
          </cell>
          <cell r="H8" t="str">
            <v>105/80</v>
          </cell>
        </row>
        <row r="9">
          <cell r="B9" t="str">
            <v>Павловский Посад-Электрогорск</v>
          </cell>
          <cell r="E9">
            <v>12</v>
          </cell>
          <cell r="F9" t="str">
            <v>прос. п</v>
          </cell>
          <cell r="H9" t="str">
            <v>100/80</v>
          </cell>
        </row>
        <row r="10">
          <cell r="B10" t="str">
            <v>Люберцы-Черусти</v>
          </cell>
          <cell r="E10">
            <v>14</v>
          </cell>
          <cell r="F10" t="str">
            <v>прос. л</v>
          </cell>
          <cell r="H10" t="str">
            <v>100/60</v>
          </cell>
        </row>
        <row r="11">
          <cell r="B11" t="str">
            <v>Кривандино-Рязановка</v>
          </cell>
          <cell r="E11">
            <v>16</v>
          </cell>
          <cell r="F11" t="str">
            <v>уровень</v>
          </cell>
          <cell r="H11" t="str">
            <v>95/80</v>
          </cell>
        </row>
        <row r="12">
          <cell r="B12" t="str">
            <v>Москва-Рязань I</v>
          </cell>
          <cell r="E12">
            <v>17</v>
          </cell>
          <cell r="F12" t="str">
            <v>ПРЖ</v>
          </cell>
          <cell r="H12" t="str">
            <v>90/80</v>
          </cell>
        </row>
        <row r="13">
          <cell r="B13" t="str">
            <v>Рязань II - Ряжск</v>
          </cell>
          <cell r="E13">
            <v>18</v>
          </cell>
          <cell r="F13" t="str">
            <v>профил. прос.п</v>
          </cell>
          <cell r="H13" t="str">
            <v>90/70</v>
          </cell>
        </row>
        <row r="14">
          <cell r="B14" t="str">
            <v>Рыбное-Пост 204км</v>
          </cell>
          <cell r="E14">
            <v>19</v>
          </cell>
          <cell r="F14" t="str">
            <v>профил. прос.л</v>
          </cell>
          <cell r="H14" t="str">
            <v>85/80</v>
          </cell>
        </row>
        <row r="15">
          <cell r="B15" t="str">
            <v>Перово-Андроновка</v>
          </cell>
          <cell r="E15">
            <v>21</v>
          </cell>
          <cell r="F15" t="str">
            <v>Р+П</v>
          </cell>
          <cell r="H15" t="str">
            <v>85/70</v>
          </cell>
        </row>
        <row r="16">
          <cell r="B16" t="str">
            <v>1 ветвь Воскресенского узла</v>
          </cell>
          <cell r="E16">
            <v>22</v>
          </cell>
          <cell r="F16" t="str">
            <v>анп</v>
          </cell>
          <cell r="H16" t="str">
            <v>80/80</v>
          </cell>
        </row>
        <row r="17">
          <cell r="B17" t="str">
            <v>Голутвин-Озеры</v>
          </cell>
          <cell r="E17">
            <v>24</v>
          </cell>
          <cell r="F17" t="str">
            <v>износ рельса бок.(не раб.гр.)</v>
          </cell>
          <cell r="H17" t="str">
            <v>80/70</v>
          </cell>
        </row>
        <row r="18">
          <cell r="B18" t="str">
            <v>Луховицы-Зарайск</v>
          </cell>
          <cell r="E18">
            <v>25</v>
          </cell>
          <cell r="F18" t="str">
            <v>износ рельса бок.(не упор.н.)</v>
          </cell>
          <cell r="H18" t="str">
            <v>80/60</v>
          </cell>
        </row>
        <row r="19">
          <cell r="B19" t="str">
            <v>Стенькино I - Лесок</v>
          </cell>
          <cell r="E19">
            <v>27</v>
          </cell>
          <cell r="F19" t="str">
            <v>рихтовка (по не упор.н.)</v>
          </cell>
          <cell r="H19" t="str">
            <v>75/60</v>
          </cell>
        </row>
        <row r="20">
          <cell r="B20" t="str">
            <v>Стенькино I - Стенькино II</v>
          </cell>
          <cell r="E20">
            <v>30</v>
          </cell>
          <cell r="F20" t="str">
            <v>зазор л,п</v>
          </cell>
          <cell r="H20" t="str">
            <v>75/55</v>
          </cell>
        </row>
        <row r="21">
          <cell r="B21" t="str">
            <v>Цемзаводовская ветвь</v>
          </cell>
          <cell r="E21">
            <v>32</v>
          </cell>
          <cell r="H21" t="str">
            <v>70/70</v>
          </cell>
        </row>
        <row r="22">
          <cell r="B22" t="str">
            <v>Москва-Ожерелье</v>
          </cell>
          <cell r="E22">
            <v>33</v>
          </cell>
          <cell r="H22" t="str">
            <v>70/60</v>
          </cell>
        </row>
        <row r="23">
          <cell r="B23" t="str">
            <v>Маклец-Бобрик Донской</v>
          </cell>
          <cell r="E23">
            <v>36</v>
          </cell>
          <cell r="H23" t="str">
            <v>60/60</v>
          </cell>
        </row>
        <row r="24">
          <cell r="B24" t="str">
            <v>Ожерелье-Ефремов-Елец</v>
          </cell>
          <cell r="E24">
            <v>38</v>
          </cell>
          <cell r="H24" t="str">
            <v>50/40</v>
          </cell>
        </row>
        <row r="25">
          <cell r="B25" t="str">
            <v>Бирюлево пасс.-Царицино</v>
          </cell>
          <cell r="E25">
            <v>39</v>
          </cell>
          <cell r="H25" t="str">
            <v>40/40</v>
          </cell>
        </row>
        <row r="26">
          <cell r="B26" t="str">
            <v>Домодедово-Аэропорт</v>
          </cell>
          <cell r="E26">
            <v>40</v>
          </cell>
        </row>
        <row r="27">
          <cell r="B27" t="str">
            <v>БП 205км-Новомосковская</v>
          </cell>
          <cell r="E27">
            <v>42</v>
          </cell>
        </row>
        <row r="28">
          <cell r="B28" t="str">
            <v>Москва-Курск</v>
          </cell>
          <cell r="E28">
            <v>43</v>
          </cell>
        </row>
        <row r="29">
          <cell r="B29" t="str">
            <v>Протвинская ветвь</v>
          </cell>
          <cell r="E29">
            <v>45</v>
          </cell>
        </row>
        <row r="30">
          <cell r="B30" t="str">
            <v>Серпухов I - Серпухов II</v>
          </cell>
          <cell r="E30">
            <v>47</v>
          </cell>
        </row>
        <row r="31">
          <cell r="B31" t="str">
            <v>Плеханово-Тула I</v>
          </cell>
          <cell r="E31">
            <v>48</v>
          </cell>
        </row>
        <row r="32">
          <cell r="B32" t="str">
            <v>Тула I - Тула III</v>
          </cell>
          <cell r="E32">
            <v>50</v>
          </cell>
        </row>
        <row r="33">
          <cell r="B33" t="str">
            <v>Тула I - Тула Лихвинская</v>
          </cell>
          <cell r="E33">
            <v>51</v>
          </cell>
        </row>
        <row r="34">
          <cell r="B34" t="str">
            <v>Москва-Брянск II</v>
          </cell>
          <cell r="E34">
            <v>53</v>
          </cell>
        </row>
        <row r="35">
          <cell r="B35" t="str">
            <v>Козелкино-Брянск I</v>
          </cell>
          <cell r="E35">
            <v>44</v>
          </cell>
        </row>
        <row r="36">
          <cell r="B36" t="str">
            <v>Брянск II - Зерново</v>
          </cell>
        </row>
        <row r="37">
          <cell r="B37" t="str">
            <v>Лесной городок-Аэропорт "Внуково"</v>
          </cell>
        </row>
        <row r="38">
          <cell r="B38" t="str">
            <v>Полпинская-Брянск I</v>
          </cell>
        </row>
        <row r="39">
          <cell r="B39" t="str">
            <v>Брянск II Зап.пост-Брянск II Юж.пост</v>
          </cell>
        </row>
        <row r="40">
          <cell r="B40" t="str">
            <v>Брянск I - Брянск II</v>
          </cell>
        </row>
        <row r="41">
          <cell r="B41" t="str">
            <v>Брянск II - Брянск I</v>
          </cell>
        </row>
        <row r="42">
          <cell r="B42" t="str">
            <v>Москва-Смоленск Ц.</v>
          </cell>
        </row>
        <row r="43">
          <cell r="B43" t="str">
            <v>Москва Товарная-Фили</v>
          </cell>
        </row>
        <row r="44">
          <cell r="B44" t="str">
            <v>Смоленск Ц.-Красное</v>
          </cell>
        </row>
        <row r="45">
          <cell r="B45" t="str">
            <v>Усовская ветвь</v>
          </cell>
        </row>
        <row r="46">
          <cell r="B46" t="str">
            <v>Звенигородская ветвь</v>
          </cell>
        </row>
        <row r="47">
          <cell r="B47" t="str">
            <v>Кубинка I - Пост 209км</v>
          </cell>
        </row>
        <row r="48">
          <cell r="B48" t="str">
            <v>Дурово-Владимирский тупик</v>
          </cell>
        </row>
        <row r="49">
          <cell r="B49" t="str">
            <v>Сафоново-Дорогобуж</v>
          </cell>
        </row>
        <row r="50">
          <cell r="B50" t="str">
            <v>Ракитная-Гнездово</v>
          </cell>
        </row>
        <row r="51">
          <cell r="B51" t="str">
            <v>Москва-Шаховская</v>
          </cell>
        </row>
        <row r="52">
          <cell r="B52" t="str">
            <v>Манихинские ветви</v>
          </cell>
        </row>
        <row r="53">
          <cell r="B53" t="str">
            <v>Манихино I - Манихино II</v>
          </cell>
        </row>
        <row r="54">
          <cell r="B54" t="str">
            <v>Москва-Савелово</v>
          </cell>
        </row>
        <row r="55">
          <cell r="B55" t="str">
            <v>Вербилки-Дубна</v>
          </cell>
        </row>
        <row r="56">
          <cell r="B56" t="str">
            <v>Лобня-Шереметьево</v>
          </cell>
        </row>
        <row r="57">
          <cell r="B57" t="str">
            <v>Москва Кур.-Москва Смол.</v>
          </cell>
        </row>
        <row r="58">
          <cell r="B58" t="str">
            <v>Малое Окр.Кольцо (МОК)</v>
          </cell>
        </row>
        <row r="59">
          <cell r="B59" t="str">
            <v>Мытищи-Фрязево</v>
          </cell>
        </row>
        <row r="60">
          <cell r="B60" t="str">
            <v>Щербинка(кольцо)</v>
          </cell>
        </row>
        <row r="61">
          <cell r="B61" t="str">
            <v>Лобня-Шереметьево</v>
          </cell>
        </row>
        <row r="62">
          <cell r="B62" t="str">
            <v>Лихоборы-Ховрино</v>
          </cell>
        </row>
        <row r="63">
          <cell r="B63" t="str">
            <v>Ветвь 4 МОК Владыкино-Бескудниково</v>
          </cell>
        </row>
        <row r="64">
          <cell r="B64" t="str">
            <v>Ветвь 6 МОК Ростокино-Лосиноостровская</v>
          </cell>
        </row>
        <row r="65">
          <cell r="B65" t="str">
            <v>Ветвь 6 МОК Ростокино-Лосиноостровская</v>
          </cell>
        </row>
        <row r="66">
          <cell r="B66" t="str">
            <v>Ветвь 7 МОК Белокаменная-Лосиноостровская</v>
          </cell>
        </row>
        <row r="67">
          <cell r="B67" t="str">
            <v>Ветвь 9 МОК Андроновка-Перово</v>
          </cell>
        </row>
        <row r="68">
          <cell r="B68" t="str">
            <v>Ветвь 10 МОК Лефортово-Кусково</v>
          </cell>
        </row>
        <row r="69">
          <cell r="B69" t="str">
            <v>Ветвь 11 МОК Андроновка-Кусково</v>
          </cell>
        </row>
        <row r="70">
          <cell r="B70" t="str">
            <v>Ветвь 15 МОК</v>
          </cell>
        </row>
        <row r="71">
          <cell r="B71" t="str">
            <v>Ветвь 16 МОК Угрешская-Люблино</v>
          </cell>
        </row>
        <row r="72">
          <cell r="B72" t="str">
            <v>Ветвь 17 МОК</v>
          </cell>
        </row>
        <row r="73">
          <cell r="B73" t="str">
            <v>Канатчиково-Коломенское</v>
          </cell>
        </row>
        <row r="74">
          <cell r="B74" t="str">
            <v>Канатчиково-Москва Пав.</v>
          </cell>
        </row>
        <row r="75">
          <cell r="B75" t="str">
            <v>Ветвь 23 МОК Кутузово-Москва сорт.Киевская</v>
          </cell>
        </row>
        <row r="76">
          <cell r="B76" t="str">
            <v>Ветвь 27 МОК Пресня-Москва тов.Смоленская</v>
          </cell>
        </row>
        <row r="77">
          <cell r="B77" t="str">
            <v>Ветвь 28 МОК Серебряный бор-Подмосковная</v>
          </cell>
        </row>
        <row r="78">
          <cell r="B78" t="str">
            <v>Пресня-Октябрьские Казармы</v>
          </cell>
        </row>
        <row r="79">
          <cell r="B79" t="str">
            <v>Перовская ветвь</v>
          </cell>
        </row>
        <row r="80">
          <cell r="B80" t="str">
            <v>Южнопортовая ветвь</v>
          </cell>
        </row>
        <row r="81">
          <cell r="B81" t="str">
            <v>Болшево-Фрязино</v>
          </cell>
        </row>
        <row r="82">
          <cell r="B82" t="str">
            <v>Бельково-Кинешма</v>
          </cell>
        </row>
        <row r="83">
          <cell r="B83" t="str">
            <v>Ожерелье-Павелец</v>
          </cell>
        </row>
        <row r="84">
          <cell r="B84" t="str">
            <v>Мшанка-Павелец</v>
          </cell>
        </row>
        <row r="85">
          <cell r="B85" t="str">
            <v>Узуново-Рыбное</v>
          </cell>
        </row>
        <row r="86">
          <cell r="B86" t="str">
            <v>Плеханово-Тупик</v>
          </cell>
        </row>
        <row r="87">
          <cell r="B87" t="str">
            <v>БОК Икша-Поварово-Бекасово сорт.</v>
          </cell>
        </row>
        <row r="88">
          <cell r="B88" t="str">
            <v>БОК Бекасово сорт.-Яганово</v>
          </cell>
        </row>
        <row r="89">
          <cell r="B89" t="str">
            <v>БОК Орехово-Александров</v>
          </cell>
        </row>
        <row r="90">
          <cell r="B90" t="str">
            <v>Жилево-Яганово</v>
          </cell>
        </row>
        <row r="91">
          <cell r="B91" t="str">
            <v>БОК Яганово-Воскресенск</v>
          </cell>
        </row>
        <row r="92">
          <cell r="B92" t="str">
            <v>БОК Воскресенск-Орехово</v>
          </cell>
        </row>
        <row r="93">
          <cell r="B93" t="str">
            <v>БОК Пост 81км-Яхрома</v>
          </cell>
        </row>
        <row r="94">
          <cell r="B94" t="str">
            <v>Воскресенск-Ильинский Погост</v>
          </cell>
        </row>
        <row r="95">
          <cell r="B95" t="str">
            <v>Пост 87км-Дмитров</v>
          </cell>
        </row>
        <row r="96">
          <cell r="B96" t="str">
            <v>7 ветвь узла "Столбовая"</v>
          </cell>
        </row>
        <row r="97">
          <cell r="B97" t="str">
            <v>Александров II - Пост 108км</v>
          </cell>
        </row>
        <row r="98">
          <cell r="B98" t="str">
            <v>Пост 120км-Орехово</v>
          </cell>
        </row>
        <row r="99">
          <cell r="B99" t="str">
            <v>Нерская-Куровская</v>
          </cell>
        </row>
        <row r="100">
          <cell r="B100" t="str">
            <v>Ветвь 2 Куровская-Давыдово</v>
          </cell>
        </row>
        <row r="101">
          <cell r="B101" t="str">
            <v>Пост 61км-Шиферная</v>
          </cell>
        </row>
        <row r="102">
          <cell r="B102" t="str">
            <v>Ветвь 4 Воскресенского узла</v>
          </cell>
        </row>
        <row r="103">
          <cell r="B103" t="str">
            <v>Ветвь 6 Воскресенского узла</v>
          </cell>
        </row>
        <row r="104">
          <cell r="B104" t="str">
            <v>Ветвь 1 узла "Михнево"</v>
          </cell>
        </row>
        <row r="105">
          <cell r="B105" t="str">
            <v>Сандарово-Столбовая</v>
          </cell>
        </row>
        <row r="106">
          <cell r="B106" t="str">
            <v>Пост 66км-Детково</v>
          </cell>
        </row>
        <row r="107">
          <cell r="B107" t="str">
            <v>Детково-Столбовая</v>
          </cell>
        </row>
        <row r="108">
          <cell r="B108" t="str">
            <v>Ветвь 5 узла "Столбовая"</v>
          </cell>
        </row>
        <row r="109">
          <cell r="B109" t="str">
            <v>Ветвь 6 узла "Столбовая"</v>
          </cell>
        </row>
        <row r="110">
          <cell r="B110" t="str">
            <v>Пост 232км-Пост 64км</v>
          </cell>
        </row>
        <row r="111">
          <cell r="B111" t="str">
            <v>Бекасово I - Пост 232км</v>
          </cell>
        </row>
        <row r="112">
          <cell r="B112" t="str">
            <v>Пожитково-Бекасово I</v>
          </cell>
        </row>
        <row r="113">
          <cell r="B113" t="str">
            <v>Пожитково-Пост 64км</v>
          </cell>
        </row>
        <row r="114">
          <cell r="B114" t="str">
            <v>Пост 232км-Бекасово I</v>
          </cell>
        </row>
        <row r="115">
          <cell r="B115" t="str">
            <v>Пост 60км-Пост 232км</v>
          </cell>
        </row>
        <row r="116">
          <cell r="B116" t="str">
            <v>Кубинка I - Кубинка II</v>
          </cell>
        </row>
        <row r="117">
          <cell r="B117" t="str">
            <v>Пост 67км-Пост 209км</v>
          </cell>
        </row>
        <row r="118">
          <cell r="B118" t="str">
            <v>Пост 209км-Акуловский пост</v>
          </cell>
        </row>
        <row r="119">
          <cell r="B119" t="str">
            <v>Рязань I - Кустаревка</v>
          </cell>
        </row>
        <row r="120">
          <cell r="B120" t="str">
            <v>Листвянка-Гавердово</v>
          </cell>
        </row>
        <row r="121">
          <cell r="B121" t="str">
            <v>Перевлес-Ясаково</v>
          </cell>
        </row>
        <row r="122">
          <cell r="B122" t="str">
            <v>Ушинский-Касимов</v>
          </cell>
        </row>
        <row r="123">
          <cell r="B123" t="str">
            <v>Рязань I - Рязань II</v>
          </cell>
        </row>
        <row r="124">
          <cell r="B124" t="str">
            <v>Кустаревка-Вернадовка</v>
          </cell>
        </row>
        <row r="125">
          <cell r="B125" t="str">
            <v>Ряжск I - Пенза</v>
          </cell>
        </row>
        <row r="126">
          <cell r="B126" t="str">
            <v>Брянск-Орел</v>
          </cell>
        </row>
        <row r="127">
          <cell r="B127" t="str">
            <v>Брянск I - Смоленск</v>
          </cell>
        </row>
        <row r="128">
          <cell r="B128" t="str">
            <v>Смоленск Ц.-Заольша</v>
          </cell>
        </row>
        <row r="129">
          <cell r="B129" t="str">
            <v>Смоленск Ц.-Куприно</v>
          </cell>
        </row>
        <row r="130">
          <cell r="B130" t="str">
            <v>Брянск Вост.-Брянск II</v>
          </cell>
        </row>
        <row r="131">
          <cell r="B131" t="str">
            <v>Брянск I - Брянск Вост.</v>
          </cell>
        </row>
        <row r="132">
          <cell r="B132" t="str">
            <v>Жуковка-Клетня</v>
          </cell>
        </row>
        <row r="133">
          <cell r="B133" t="str">
            <v>Тычинино-Новосмоленская</v>
          </cell>
        </row>
        <row r="134">
          <cell r="B134" t="str">
            <v>Валутино-Сашно</v>
          </cell>
        </row>
        <row r="135">
          <cell r="B135" t="str">
            <v>Унеча-Сураж-Орша</v>
          </cell>
        </row>
        <row r="136">
          <cell r="B136" t="str">
            <v>Унеча-Витемля-Ворожба</v>
          </cell>
        </row>
        <row r="137">
          <cell r="B137" t="str">
            <v>Унеча-Брянск II Юж.пост</v>
          </cell>
        </row>
        <row r="138">
          <cell r="B138" t="str">
            <v>Жеча-Стародуб</v>
          </cell>
        </row>
        <row r="139">
          <cell r="B139" t="str">
            <v>Вязьма-Ржев</v>
          </cell>
        </row>
        <row r="140">
          <cell r="B140" t="str">
            <v>Вязьма-Брянск</v>
          </cell>
        </row>
        <row r="141">
          <cell r="B141" t="str">
            <v>Вязьма-Вязьма Новоторжская</v>
          </cell>
        </row>
        <row r="142">
          <cell r="B142" t="str">
            <v>Пунка-Чернец</v>
          </cell>
        </row>
        <row r="143">
          <cell r="B143" t="str">
            <v>Навля-Льгов</v>
          </cell>
        </row>
        <row r="144">
          <cell r="B144" t="str">
            <v>Льгов-Готня</v>
          </cell>
        </row>
        <row r="145">
          <cell r="B145" t="str">
            <v>Брянск II - Унеча - Злынка</v>
          </cell>
        </row>
        <row r="146">
          <cell r="B146" t="str">
            <v>Новозыбков-Климов</v>
          </cell>
        </row>
        <row r="147">
          <cell r="B147" t="str">
            <v>Факел-Рославль</v>
          </cell>
        </row>
        <row r="148">
          <cell r="B148" t="str">
            <v>Рославль I - Рославль II</v>
          </cell>
        </row>
        <row r="149">
          <cell r="B149" t="str">
            <v>Рославль II - Сухиничи</v>
          </cell>
        </row>
        <row r="150">
          <cell r="B150" t="str">
            <v>Курск - Льгов I - Ворожба</v>
          </cell>
        </row>
        <row r="151">
          <cell r="B151" t="str">
            <v>Курск-Касторная-Воронеж</v>
          </cell>
        </row>
        <row r="152">
          <cell r="B152" t="str">
            <v>Коренево-Рыльск</v>
          </cell>
        </row>
        <row r="153">
          <cell r="B153" t="str">
            <v>Охочевка-Колпны</v>
          </cell>
        </row>
        <row r="154">
          <cell r="B154" t="str">
            <v>Москва-Новопеределкино</v>
          </cell>
        </row>
        <row r="155">
          <cell r="B155" t="str">
            <v>Вязьма-Плеханово</v>
          </cell>
        </row>
        <row r="156">
          <cell r="B156" t="str">
            <v>Плеханово-Узловая II</v>
          </cell>
        </row>
        <row r="157">
          <cell r="B157" t="str">
            <v>Узловая I - Ряжск</v>
          </cell>
        </row>
        <row r="158">
          <cell r="B158" t="str">
            <v>Ветвь 3 Ряжск I - Ряжск II</v>
          </cell>
        </row>
        <row r="159">
          <cell r="B159" t="str">
            <v>Пост 147км-Тихонова Пустынь</v>
          </cell>
        </row>
        <row r="160">
          <cell r="B160" t="str">
            <v>Муратовка-Горенская</v>
          </cell>
        </row>
        <row r="161">
          <cell r="B161" t="str">
            <v>Муратовка-Тихонова Пустынь</v>
          </cell>
        </row>
        <row r="162">
          <cell r="B162" t="str">
            <v>Львово-Казановка</v>
          </cell>
        </row>
        <row r="163">
          <cell r="B163" t="str">
            <v>Волово-Духовская</v>
          </cell>
        </row>
        <row r="164">
          <cell r="B164" t="str">
            <v>Арбузово-Лужки-Кузмичевка</v>
          </cell>
        </row>
        <row r="165">
          <cell r="B165" t="str">
            <v>Арбузово-Пост 4км</v>
          </cell>
        </row>
        <row r="166">
          <cell r="B166" t="str">
            <v>Лужки-Семинарская</v>
          </cell>
        </row>
        <row r="167">
          <cell r="B167" t="str">
            <v>Орел-Елец</v>
          </cell>
        </row>
        <row r="168">
          <cell r="B168" t="str">
            <v>Орел-Семинарская</v>
          </cell>
        </row>
        <row r="169">
          <cell r="B169" t="str">
            <v>Лужки-Саханская</v>
          </cell>
        </row>
        <row r="170">
          <cell r="B170" t="str">
            <v>Орел-Лужки</v>
          </cell>
        </row>
        <row r="171">
          <cell r="B171" t="str">
            <v>Верховье-Мармыжи</v>
          </cell>
        </row>
        <row r="172">
          <cell r="B172" t="str">
            <v>Николаевка-Москва Яросл.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Ограничения скорости ЦП-515"/>
      <sheetName val="Ведомость отступлений доп.парам"/>
      <sheetName val="списки"/>
    </sheetNames>
    <sheetDataSet>
      <sheetData sheetId="0"/>
      <sheetData sheetId="1"/>
      <sheetData sheetId="2">
        <row r="2">
          <cell r="D2">
            <v>1</v>
          </cell>
        </row>
        <row r="3">
          <cell r="D3">
            <v>2</v>
          </cell>
        </row>
        <row r="4">
          <cell r="D4">
            <v>3</v>
          </cell>
        </row>
        <row r="5">
          <cell r="D5">
            <v>4</v>
          </cell>
        </row>
        <row r="6">
          <cell r="D6">
            <v>5</v>
          </cell>
        </row>
        <row r="7">
          <cell r="D7">
            <v>6</v>
          </cell>
        </row>
        <row r="8">
          <cell r="D8">
            <v>7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D1" t="str">
            <v>дерево</v>
          </cell>
          <cell r="J1" t="str">
            <v>р</v>
          </cell>
        </row>
        <row r="2">
          <cell r="D2" t="str">
            <v>ж/б до 1996 г.</v>
          </cell>
          <cell r="J2" t="str">
            <v>к</v>
          </cell>
        </row>
        <row r="3">
          <cell r="D3" t="str">
            <v>ж/б после 1996 г.</v>
          </cell>
          <cell r="J3" t="str">
            <v>д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G1">
            <v>1</v>
          </cell>
        </row>
        <row r="2">
          <cell r="G2">
            <v>2</v>
          </cell>
        </row>
        <row r="3">
          <cell r="G3">
            <v>5</v>
          </cell>
        </row>
        <row r="4">
          <cell r="G4">
            <v>7</v>
          </cell>
        </row>
        <row r="5">
          <cell r="G5">
            <v>8</v>
          </cell>
        </row>
        <row r="6">
          <cell r="G6">
            <v>9</v>
          </cell>
        </row>
        <row r="7">
          <cell r="G7">
            <v>11</v>
          </cell>
        </row>
        <row r="8">
          <cell r="G8">
            <v>12</v>
          </cell>
        </row>
        <row r="9">
          <cell r="G9">
            <v>14</v>
          </cell>
        </row>
        <row r="10">
          <cell r="G10">
            <v>16</v>
          </cell>
        </row>
        <row r="11">
          <cell r="G11">
            <v>17</v>
          </cell>
        </row>
        <row r="12">
          <cell r="G12">
            <v>18</v>
          </cell>
        </row>
        <row r="13">
          <cell r="G13">
            <v>19</v>
          </cell>
        </row>
        <row r="14">
          <cell r="G14">
            <v>21</v>
          </cell>
        </row>
        <row r="15">
          <cell r="G15">
            <v>22</v>
          </cell>
        </row>
        <row r="16">
          <cell r="G16">
            <v>24</v>
          </cell>
        </row>
        <row r="17">
          <cell r="G17">
            <v>25</v>
          </cell>
        </row>
        <row r="18">
          <cell r="G18">
            <v>27</v>
          </cell>
        </row>
        <row r="19">
          <cell r="G19">
            <v>30</v>
          </cell>
        </row>
        <row r="20">
          <cell r="G20">
            <v>32</v>
          </cell>
        </row>
        <row r="21">
          <cell r="G21">
            <v>33</v>
          </cell>
        </row>
        <row r="22">
          <cell r="G22">
            <v>36</v>
          </cell>
        </row>
        <row r="23">
          <cell r="G23">
            <v>38</v>
          </cell>
        </row>
        <row r="24">
          <cell r="G24">
            <v>39</v>
          </cell>
        </row>
        <row r="25">
          <cell r="G25">
            <v>40</v>
          </cell>
        </row>
        <row r="26">
          <cell r="G26">
            <v>43</v>
          </cell>
        </row>
        <row r="27">
          <cell r="G27">
            <v>44</v>
          </cell>
        </row>
        <row r="28">
          <cell r="G28">
            <v>45</v>
          </cell>
        </row>
        <row r="29">
          <cell r="G29">
            <v>47</v>
          </cell>
        </row>
        <row r="30">
          <cell r="G30">
            <v>48</v>
          </cell>
        </row>
        <row r="31">
          <cell r="G31">
            <v>51</v>
          </cell>
        </row>
        <row r="32">
          <cell r="G32">
            <v>53</v>
          </cell>
        </row>
        <row r="33">
          <cell r="G33">
            <v>55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к3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</row>
        <row r="2">
          <cell r="D2" t="str">
            <v>ж/б до 1996 г.</v>
          </cell>
        </row>
        <row r="3">
          <cell r="D3" t="str">
            <v>ж/б после 1996 г.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</row>
        <row r="2">
          <cell r="D2" t="str">
            <v>ж/б до 1996 г.</v>
          </cell>
        </row>
        <row r="3">
          <cell r="D3" t="str">
            <v>ж/б после 1996 г.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">
    <tabColor rgb="FFFF0000"/>
    <pageSetUpPr fitToPage="1"/>
  </sheetPr>
  <dimension ref="A1:O250"/>
  <sheetViews>
    <sheetView tabSelected="1" view="pageBreakPreview" topLeftCell="A14" zoomScale="71" zoomScaleNormal="71" zoomScaleSheetLayoutView="71" workbookViewId="0">
      <pane ySplit="5" topLeftCell="A19" activePane="bottomLeft" state="frozen"/>
      <selection activeCell="A14" sqref="A14"/>
      <selection pane="bottomLeft" activeCell="I82" sqref="I82"/>
    </sheetView>
  </sheetViews>
  <sheetFormatPr defaultRowHeight="12.75" outlineLevelCol="1"/>
  <cols>
    <col min="1" max="1" width="9.140625" style="4" customWidth="1"/>
    <col min="2" max="2" width="6.140625" style="4" customWidth="1"/>
    <col min="3" max="3" width="13.7109375" style="4" bestFit="1" customWidth="1"/>
    <col min="4" max="4" width="20.85546875" style="4" customWidth="1"/>
    <col min="5" max="5" width="34.85546875" style="4" customWidth="1"/>
    <col min="6" max="6" width="8" style="4" customWidth="1"/>
    <col min="7" max="8" width="17" style="4" customWidth="1"/>
    <col min="9" max="9" width="17.42578125" style="4" customWidth="1"/>
    <col min="10" max="10" width="15.28515625" style="4" customWidth="1"/>
    <col min="11" max="11" width="15.7109375" style="4" customWidth="1"/>
    <col min="12" max="13" width="12.7109375" style="4" customWidth="1"/>
    <col min="14" max="14" width="12.7109375" style="4" hidden="1" customWidth="1" outlineLevel="1"/>
    <col min="15" max="15" width="9.140625" style="4" customWidth="1" collapsed="1"/>
    <col min="16" max="18" width="9.140625" style="4" customWidth="1"/>
    <col min="19" max="249" width="9.140625" style="4"/>
    <col min="250" max="250" width="14.5703125" style="4" bestFit="1" customWidth="1"/>
    <col min="251" max="251" width="34.85546875" style="4" customWidth="1"/>
    <col min="252" max="252" width="9.85546875" style="4" customWidth="1"/>
    <col min="253" max="254" width="17" style="4" customWidth="1"/>
    <col min="255" max="255" width="17.42578125" style="4" customWidth="1"/>
    <col min="256" max="261" width="9.140625" style="4"/>
    <col min="262" max="263" width="11.7109375" style="4" customWidth="1"/>
    <col min="264" max="264" width="13" style="4" customWidth="1"/>
    <col min="265" max="265" width="15.5703125" style="4" customWidth="1"/>
    <col min="266" max="266" width="9.140625" style="4"/>
    <col min="267" max="267" width="11.7109375" style="4" customWidth="1"/>
    <col min="268" max="268" width="12.28515625" style="4" customWidth="1"/>
    <col min="269" max="269" width="24.140625" style="4" customWidth="1"/>
    <col min="270" max="270" width="20.85546875" style="4" customWidth="1"/>
    <col min="271" max="505" width="9.140625" style="4"/>
    <col min="506" max="506" width="14.5703125" style="4" bestFit="1" customWidth="1"/>
    <col min="507" max="507" width="34.85546875" style="4" customWidth="1"/>
    <col min="508" max="508" width="9.85546875" style="4" customWidth="1"/>
    <col min="509" max="510" width="17" style="4" customWidth="1"/>
    <col min="511" max="511" width="17.42578125" style="4" customWidth="1"/>
    <col min="512" max="517" width="9.140625" style="4"/>
    <col min="518" max="519" width="11.7109375" style="4" customWidth="1"/>
    <col min="520" max="520" width="13" style="4" customWidth="1"/>
    <col min="521" max="521" width="15.5703125" style="4" customWidth="1"/>
    <col min="522" max="522" width="9.140625" style="4"/>
    <col min="523" max="523" width="11.7109375" style="4" customWidth="1"/>
    <col min="524" max="524" width="12.28515625" style="4" customWidth="1"/>
    <col min="525" max="525" width="24.140625" style="4" customWidth="1"/>
    <col min="526" max="526" width="20.85546875" style="4" customWidth="1"/>
    <col min="527" max="761" width="9.140625" style="4"/>
    <col min="762" max="762" width="14.5703125" style="4" bestFit="1" customWidth="1"/>
    <col min="763" max="763" width="34.85546875" style="4" customWidth="1"/>
    <col min="764" max="764" width="9.85546875" style="4" customWidth="1"/>
    <col min="765" max="766" width="17" style="4" customWidth="1"/>
    <col min="767" max="767" width="17.42578125" style="4" customWidth="1"/>
    <col min="768" max="773" width="9.140625" style="4"/>
    <col min="774" max="775" width="11.7109375" style="4" customWidth="1"/>
    <col min="776" max="776" width="13" style="4" customWidth="1"/>
    <col min="777" max="777" width="15.5703125" style="4" customWidth="1"/>
    <col min="778" max="778" width="9.140625" style="4"/>
    <col min="779" max="779" width="11.7109375" style="4" customWidth="1"/>
    <col min="780" max="780" width="12.28515625" style="4" customWidth="1"/>
    <col min="781" max="781" width="24.140625" style="4" customWidth="1"/>
    <col min="782" max="782" width="20.85546875" style="4" customWidth="1"/>
    <col min="783" max="1017" width="9.140625" style="4"/>
    <col min="1018" max="1018" width="14.5703125" style="4" bestFit="1" customWidth="1"/>
    <col min="1019" max="1019" width="34.85546875" style="4" customWidth="1"/>
    <col min="1020" max="1020" width="9.85546875" style="4" customWidth="1"/>
    <col min="1021" max="1022" width="17" style="4" customWidth="1"/>
    <col min="1023" max="1023" width="17.42578125" style="4" customWidth="1"/>
    <col min="1024" max="1029" width="9.140625" style="4"/>
    <col min="1030" max="1031" width="11.7109375" style="4" customWidth="1"/>
    <col min="1032" max="1032" width="13" style="4" customWidth="1"/>
    <col min="1033" max="1033" width="15.5703125" style="4" customWidth="1"/>
    <col min="1034" max="1034" width="9.140625" style="4"/>
    <col min="1035" max="1035" width="11.7109375" style="4" customWidth="1"/>
    <col min="1036" max="1036" width="12.28515625" style="4" customWidth="1"/>
    <col min="1037" max="1037" width="24.140625" style="4" customWidth="1"/>
    <col min="1038" max="1038" width="20.85546875" style="4" customWidth="1"/>
    <col min="1039" max="1273" width="9.140625" style="4"/>
    <col min="1274" max="1274" width="14.5703125" style="4" bestFit="1" customWidth="1"/>
    <col min="1275" max="1275" width="34.85546875" style="4" customWidth="1"/>
    <col min="1276" max="1276" width="9.85546875" style="4" customWidth="1"/>
    <col min="1277" max="1278" width="17" style="4" customWidth="1"/>
    <col min="1279" max="1279" width="17.42578125" style="4" customWidth="1"/>
    <col min="1280" max="1285" width="9.140625" style="4"/>
    <col min="1286" max="1287" width="11.7109375" style="4" customWidth="1"/>
    <col min="1288" max="1288" width="13" style="4" customWidth="1"/>
    <col min="1289" max="1289" width="15.5703125" style="4" customWidth="1"/>
    <col min="1290" max="1290" width="9.140625" style="4"/>
    <col min="1291" max="1291" width="11.7109375" style="4" customWidth="1"/>
    <col min="1292" max="1292" width="12.28515625" style="4" customWidth="1"/>
    <col min="1293" max="1293" width="24.140625" style="4" customWidth="1"/>
    <col min="1294" max="1294" width="20.85546875" style="4" customWidth="1"/>
    <col min="1295" max="1529" width="9.140625" style="4"/>
    <col min="1530" max="1530" width="14.5703125" style="4" bestFit="1" customWidth="1"/>
    <col min="1531" max="1531" width="34.85546875" style="4" customWidth="1"/>
    <col min="1532" max="1532" width="9.85546875" style="4" customWidth="1"/>
    <col min="1533" max="1534" width="17" style="4" customWidth="1"/>
    <col min="1535" max="1535" width="17.42578125" style="4" customWidth="1"/>
    <col min="1536" max="1541" width="9.140625" style="4"/>
    <col min="1542" max="1543" width="11.7109375" style="4" customWidth="1"/>
    <col min="1544" max="1544" width="13" style="4" customWidth="1"/>
    <col min="1545" max="1545" width="15.5703125" style="4" customWidth="1"/>
    <col min="1546" max="1546" width="9.140625" style="4"/>
    <col min="1547" max="1547" width="11.7109375" style="4" customWidth="1"/>
    <col min="1548" max="1548" width="12.28515625" style="4" customWidth="1"/>
    <col min="1549" max="1549" width="24.140625" style="4" customWidth="1"/>
    <col min="1550" max="1550" width="20.85546875" style="4" customWidth="1"/>
    <col min="1551" max="1785" width="9.140625" style="4"/>
    <col min="1786" max="1786" width="14.5703125" style="4" bestFit="1" customWidth="1"/>
    <col min="1787" max="1787" width="34.85546875" style="4" customWidth="1"/>
    <col min="1788" max="1788" width="9.85546875" style="4" customWidth="1"/>
    <col min="1789" max="1790" width="17" style="4" customWidth="1"/>
    <col min="1791" max="1791" width="17.42578125" style="4" customWidth="1"/>
    <col min="1792" max="1797" width="9.140625" style="4"/>
    <col min="1798" max="1799" width="11.7109375" style="4" customWidth="1"/>
    <col min="1800" max="1800" width="13" style="4" customWidth="1"/>
    <col min="1801" max="1801" width="15.5703125" style="4" customWidth="1"/>
    <col min="1802" max="1802" width="9.140625" style="4"/>
    <col min="1803" max="1803" width="11.7109375" style="4" customWidth="1"/>
    <col min="1804" max="1804" width="12.28515625" style="4" customWidth="1"/>
    <col min="1805" max="1805" width="24.140625" style="4" customWidth="1"/>
    <col min="1806" max="1806" width="20.85546875" style="4" customWidth="1"/>
    <col min="1807" max="2041" width="9.140625" style="4"/>
    <col min="2042" max="2042" width="14.5703125" style="4" bestFit="1" customWidth="1"/>
    <col min="2043" max="2043" width="34.85546875" style="4" customWidth="1"/>
    <col min="2044" max="2044" width="9.85546875" style="4" customWidth="1"/>
    <col min="2045" max="2046" width="17" style="4" customWidth="1"/>
    <col min="2047" max="2047" width="17.42578125" style="4" customWidth="1"/>
    <col min="2048" max="2053" width="9.140625" style="4"/>
    <col min="2054" max="2055" width="11.7109375" style="4" customWidth="1"/>
    <col min="2056" max="2056" width="13" style="4" customWidth="1"/>
    <col min="2057" max="2057" width="15.5703125" style="4" customWidth="1"/>
    <col min="2058" max="2058" width="9.140625" style="4"/>
    <col min="2059" max="2059" width="11.7109375" style="4" customWidth="1"/>
    <col min="2060" max="2060" width="12.28515625" style="4" customWidth="1"/>
    <col min="2061" max="2061" width="24.140625" style="4" customWidth="1"/>
    <col min="2062" max="2062" width="20.85546875" style="4" customWidth="1"/>
    <col min="2063" max="2297" width="9.140625" style="4"/>
    <col min="2298" max="2298" width="14.5703125" style="4" bestFit="1" customWidth="1"/>
    <col min="2299" max="2299" width="34.85546875" style="4" customWidth="1"/>
    <col min="2300" max="2300" width="9.85546875" style="4" customWidth="1"/>
    <col min="2301" max="2302" width="17" style="4" customWidth="1"/>
    <col min="2303" max="2303" width="17.42578125" style="4" customWidth="1"/>
    <col min="2304" max="2309" width="9.140625" style="4"/>
    <col min="2310" max="2311" width="11.7109375" style="4" customWidth="1"/>
    <col min="2312" max="2312" width="13" style="4" customWidth="1"/>
    <col min="2313" max="2313" width="15.5703125" style="4" customWidth="1"/>
    <col min="2314" max="2314" width="9.140625" style="4"/>
    <col min="2315" max="2315" width="11.7109375" style="4" customWidth="1"/>
    <col min="2316" max="2316" width="12.28515625" style="4" customWidth="1"/>
    <col min="2317" max="2317" width="24.140625" style="4" customWidth="1"/>
    <col min="2318" max="2318" width="20.85546875" style="4" customWidth="1"/>
    <col min="2319" max="2553" width="9.140625" style="4"/>
    <col min="2554" max="2554" width="14.5703125" style="4" bestFit="1" customWidth="1"/>
    <col min="2555" max="2555" width="34.85546875" style="4" customWidth="1"/>
    <col min="2556" max="2556" width="9.85546875" style="4" customWidth="1"/>
    <col min="2557" max="2558" width="17" style="4" customWidth="1"/>
    <col min="2559" max="2559" width="17.42578125" style="4" customWidth="1"/>
    <col min="2560" max="2565" width="9.140625" style="4"/>
    <col min="2566" max="2567" width="11.7109375" style="4" customWidth="1"/>
    <col min="2568" max="2568" width="13" style="4" customWidth="1"/>
    <col min="2569" max="2569" width="15.5703125" style="4" customWidth="1"/>
    <col min="2570" max="2570" width="9.140625" style="4"/>
    <col min="2571" max="2571" width="11.7109375" style="4" customWidth="1"/>
    <col min="2572" max="2572" width="12.28515625" style="4" customWidth="1"/>
    <col min="2573" max="2573" width="24.140625" style="4" customWidth="1"/>
    <col min="2574" max="2574" width="20.85546875" style="4" customWidth="1"/>
    <col min="2575" max="2809" width="9.140625" style="4"/>
    <col min="2810" max="2810" width="14.5703125" style="4" bestFit="1" customWidth="1"/>
    <col min="2811" max="2811" width="34.85546875" style="4" customWidth="1"/>
    <col min="2812" max="2812" width="9.85546875" style="4" customWidth="1"/>
    <col min="2813" max="2814" width="17" style="4" customWidth="1"/>
    <col min="2815" max="2815" width="17.42578125" style="4" customWidth="1"/>
    <col min="2816" max="2821" width="9.140625" style="4"/>
    <col min="2822" max="2823" width="11.7109375" style="4" customWidth="1"/>
    <col min="2824" max="2824" width="13" style="4" customWidth="1"/>
    <col min="2825" max="2825" width="15.5703125" style="4" customWidth="1"/>
    <col min="2826" max="2826" width="9.140625" style="4"/>
    <col min="2827" max="2827" width="11.7109375" style="4" customWidth="1"/>
    <col min="2828" max="2828" width="12.28515625" style="4" customWidth="1"/>
    <col min="2829" max="2829" width="24.140625" style="4" customWidth="1"/>
    <col min="2830" max="2830" width="20.85546875" style="4" customWidth="1"/>
    <col min="2831" max="3065" width="9.140625" style="4"/>
    <col min="3066" max="3066" width="14.5703125" style="4" bestFit="1" customWidth="1"/>
    <col min="3067" max="3067" width="34.85546875" style="4" customWidth="1"/>
    <col min="3068" max="3068" width="9.85546875" style="4" customWidth="1"/>
    <col min="3069" max="3070" width="17" style="4" customWidth="1"/>
    <col min="3071" max="3071" width="17.42578125" style="4" customWidth="1"/>
    <col min="3072" max="3077" width="9.140625" style="4"/>
    <col min="3078" max="3079" width="11.7109375" style="4" customWidth="1"/>
    <col min="3080" max="3080" width="13" style="4" customWidth="1"/>
    <col min="3081" max="3081" width="15.5703125" style="4" customWidth="1"/>
    <col min="3082" max="3082" width="9.140625" style="4"/>
    <col min="3083" max="3083" width="11.7109375" style="4" customWidth="1"/>
    <col min="3084" max="3084" width="12.28515625" style="4" customWidth="1"/>
    <col min="3085" max="3085" width="24.140625" style="4" customWidth="1"/>
    <col min="3086" max="3086" width="20.85546875" style="4" customWidth="1"/>
    <col min="3087" max="3321" width="9.140625" style="4"/>
    <col min="3322" max="3322" width="14.5703125" style="4" bestFit="1" customWidth="1"/>
    <col min="3323" max="3323" width="34.85546875" style="4" customWidth="1"/>
    <col min="3324" max="3324" width="9.85546875" style="4" customWidth="1"/>
    <col min="3325" max="3326" width="17" style="4" customWidth="1"/>
    <col min="3327" max="3327" width="17.42578125" style="4" customWidth="1"/>
    <col min="3328" max="3333" width="9.140625" style="4"/>
    <col min="3334" max="3335" width="11.7109375" style="4" customWidth="1"/>
    <col min="3336" max="3336" width="13" style="4" customWidth="1"/>
    <col min="3337" max="3337" width="15.5703125" style="4" customWidth="1"/>
    <col min="3338" max="3338" width="9.140625" style="4"/>
    <col min="3339" max="3339" width="11.7109375" style="4" customWidth="1"/>
    <col min="3340" max="3340" width="12.28515625" style="4" customWidth="1"/>
    <col min="3341" max="3341" width="24.140625" style="4" customWidth="1"/>
    <col min="3342" max="3342" width="20.85546875" style="4" customWidth="1"/>
    <col min="3343" max="3577" width="9.140625" style="4"/>
    <col min="3578" max="3578" width="14.5703125" style="4" bestFit="1" customWidth="1"/>
    <col min="3579" max="3579" width="34.85546875" style="4" customWidth="1"/>
    <col min="3580" max="3580" width="9.85546875" style="4" customWidth="1"/>
    <col min="3581" max="3582" width="17" style="4" customWidth="1"/>
    <col min="3583" max="3583" width="17.42578125" style="4" customWidth="1"/>
    <col min="3584" max="3589" width="9.140625" style="4"/>
    <col min="3590" max="3591" width="11.7109375" style="4" customWidth="1"/>
    <col min="3592" max="3592" width="13" style="4" customWidth="1"/>
    <col min="3593" max="3593" width="15.5703125" style="4" customWidth="1"/>
    <col min="3594" max="3594" width="9.140625" style="4"/>
    <col min="3595" max="3595" width="11.7109375" style="4" customWidth="1"/>
    <col min="3596" max="3596" width="12.28515625" style="4" customWidth="1"/>
    <col min="3597" max="3597" width="24.140625" style="4" customWidth="1"/>
    <col min="3598" max="3598" width="20.85546875" style="4" customWidth="1"/>
    <col min="3599" max="3833" width="9.140625" style="4"/>
    <col min="3834" max="3834" width="14.5703125" style="4" bestFit="1" customWidth="1"/>
    <col min="3835" max="3835" width="34.85546875" style="4" customWidth="1"/>
    <col min="3836" max="3836" width="9.85546875" style="4" customWidth="1"/>
    <col min="3837" max="3838" width="17" style="4" customWidth="1"/>
    <col min="3839" max="3839" width="17.42578125" style="4" customWidth="1"/>
    <col min="3840" max="3845" width="9.140625" style="4"/>
    <col min="3846" max="3847" width="11.7109375" style="4" customWidth="1"/>
    <col min="3848" max="3848" width="13" style="4" customWidth="1"/>
    <col min="3849" max="3849" width="15.5703125" style="4" customWidth="1"/>
    <col min="3850" max="3850" width="9.140625" style="4"/>
    <col min="3851" max="3851" width="11.7109375" style="4" customWidth="1"/>
    <col min="3852" max="3852" width="12.28515625" style="4" customWidth="1"/>
    <col min="3853" max="3853" width="24.140625" style="4" customWidth="1"/>
    <col min="3854" max="3854" width="20.85546875" style="4" customWidth="1"/>
    <col min="3855" max="4089" width="9.140625" style="4"/>
    <col min="4090" max="4090" width="14.5703125" style="4" bestFit="1" customWidth="1"/>
    <col min="4091" max="4091" width="34.85546875" style="4" customWidth="1"/>
    <col min="4092" max="4092" width="9.85546875" style="4" customWidth="1"/>
    <col min="4093" max="4094" width="17" style="4" customWidth="1"/>
    <col min="4095" max="4095" width="17.42578125" style="4" customWidth="1"/>
    <col min="4096" max="4101" width="9.140625" style="4"/>
    <col min="4102" max="4103" width="11.7109375" style="4" customWidth="1"/>
    <col min="4104" max="4104" width="13" style="4" customWidth="1"/>
    <col min="4105" max="4105" width="15.5703125" style="4" customWidth="1"/>
    <col min="4106" max="4106" width="9.140625" style="4"/>
    <col min="4107" max="4107" width="11.7109375" style="4" customWidth="1"/>
    <col min="4108" max="4108" width="12.28515625" style="4" customWidth="1"/>
    <col min="4109" max="4109" width="24.140625" style="4" customWidth="1"/>
    <col min="4110" max="4110" width="20.85546875" style="4" customWidth="1"/>
    <col min="4111" max="4345" width="9.140625" style="4"/>
    <col min="4346" max="4346" width="14.5703125" style="4" bestFit="1" customWidth="1"/>
    <col min="4347" max="4347" width="34.85546875" style="4" customWidth="1"/>
    <col min="4348" max="4348" width="9.85546875" style="4" customWidth="1"/>
    <col min="4349" max="4350" width="17" style="4" customWidth="1"/>
    <col min="4351" max="4351" width="17.42578125" style="4" customWidth="1"/>
    <col min="4352" max="4357" width="9.140625" style="4"/>
    <col min="4358" max="4359" width="11.7109375" style="4" customWidth="1"/>
    <col min="4360" max="4360" width="13" style="4" customWidth="1"/>
    <col min="4361" max="4361" width="15.5703125" style="4" customWidth="1"/>
    <col min="4362" max="4362" width="9.140625" style="4"/>
    <col min="4363" max="4363" width="11.7109375" style="4" customWidth="1"/>
    <col min="4364" max="4364" width="12.28515625" style="4" customWidth="1"/>
    <col min="4365" max="4365" width="24.140625" style="4" customWidth="1"/>
    <col min="4366" max="4366" width="20.85546875" style="4" customWidth="1"/>
    <col min="4367" max="4601" width="9.140625" style="4"/>
    <col min="4602" max="4602" width="14.5703125" style="4" bestFit="1" customWidth="1"/>
    <col min="4603" max="4603" width="34.85546875" style="4" customWidth="1"/>
    <col min="4604" max="4604" width="9.85546875" style="4" customWidth="1"/>
    <col min="4605" max="4606" width="17" style="4" customWidth="1"/>
    <col min="4607" max="4607" width="17.42578125" style="4" customWidth="1"/>
    <col min="4608" max="4613" width="9.140625" style="4"/>
    <col min="4614" max="4615" width="11.7109375" style="4" customWidth="1"/>
    <col min="4616" max="4616" width="13" style="4" customWidth="1"/>
    <col min="4617" max="4617" width="15.5703125" style="4" customWidth="1"/>
    <col min="4618" max="4618" width="9.140625" style="4"/>
    <col min="4619" max="4619" width="11.7109375" style="4" customWidth="1"/>
    <col min="4620" max="4620" width="12.28515625" style="4" customWidth="1"/>
    <col min="4621" max="4621" width="24.140625" style="4" customWidth="1"/>
    <col min="4622" max="4622" width="20.85546875" style="4" customWidth="1"/>
    <col min="4623" max="4857" width="9.140625" style="4"/>
    <col min="4858" max="4858" width="14.5703125" style="4" bestFit="1" customWidth="1"/>
    <col min="4859" max="4859" width="34.85546875" style="4" customWidth="1"/>
    <col min="4860" max="4860" width="9.85546875" style="4" customWidth="1"/>
    <col min="4861" max="4862" width="17" style="4" customWidth="1"/>
    <col min="4863" max="4863" width="17.42578125" style="4" customWidth="1"/>
    <col min="4864" max="4869" width="9.140625" style="4"/>
    <col min="4870" max="4871" width="11.7109375" style="4" customWidth="1"/>
    <col min="4872" max="4872" width="13" style="4" customWidth="1"/>
    <col min="4873" max="4873" width="15.5703125" style="4" customWidth="1"/>
    <col min="4874" max="4874" width="9.140625" style="4"/>
    <col min="4875" max="4875" width="11.7109375" style="4" customWidth="1"/>
    <col min="4876" max="4876" width="12.28515625" style="4" customWidth="1"/>
    <col min="4877" max="4877" width="24.140625" style="4" customWidth="1"/>
    <col min="4878" max="4878" width="20.85546875" style="4" customWidth="1"/>
    <col min="4879" max="5113" width="9.140625" style="4"/>
    <col min="5114" max="5114" width="14.5703125" style="4" bestFit="1" customWidth="1"/>
    <col min="5115" max="5115" width="34.85546875" style="4" customWidth="1"/>
    <col min="5116" max="5116" width="9.85546875" style="4" customWidth="1"/>
    <col min="5117" max="5118" width="17" style="4" customWidth="1"/>
    <col min="5119" max="5119" width="17.42578125" style="4" customWidth="1"/>
    <col min="5120" max="5125" width="9.140625" style="4"/>
    <col min="5126" max="5127" width="11.7109375" style="4" customWidth="1"/>
    <col min="5128" max="5128" width="13" style="4" customWidth="1"/>
    <col min="5129" max="5129" width="15.5703125" style="4" customWidth="1"/>
    <col min="5130" max="5130" width="9.140625" style="4"/>
    <col min="5131" max="5131" width="11.7109375" style="4" customWidth="1"/>
    <col min="5132" max="5132" width="12.28515625" style="4" customWidth="1"/>
    <col min="5133" max="5133" width="24.140625" style="4" customWidth="1"/>
    <col min="5134" max="5134" width="20.85546875" style="4" customWidth="1"/>
    <col min="5135" max="5369" width="9.140625" style="4"/>
    <col min="5370" max="5370" width="14.5703125" style="4" bestFit="1" customWidth="1"/>
    <col min="5371" max="5371" width="34.85546875" style="4" customWidth="1"/>
    <col min="5372" max="5372" width="9.85546875" style="4" customWidth="1"/>
    <col min="5373" max="5374" width="17" style="4" customWidth="1"/>
    <col min="5375" max="5375" width="17.42578125" style="4" customWidth="1"/>
    <col min="5376" max="5381" width="9.140625" style="4"/>
    <col min="5382" max="5383" width="11.7109375" style="4" customWidth="1"/>
    <col min="5384" max="5384" width="13" style="4" customWidth="1"/>
    <col min="5385" max="5385" width="15.5703125" style="4" customWidth="1"/>
    <col min="5386" max="5386" width="9.140625" style="4"/>
    <col min="5387" max="5387" width="11.7109375" style="4" customWidth="1"/>
    <col min="5388" max="5388" width="12.28515625" style="4" customWidth="1"/>
    <col min="5389" max="5389" width="24.140625" style="4" customWidth="1"/>
    <col min="5390" max="5390" width="20.85546875" style="4" customWidth="1"/>
    <col min="5391" max="5625" width="9.140625" style="4"/>
    <col min="5626" max="5626" width="14.5703125" style="4" bestFit="1" customWidth="1"/>
    <col min="5627" max="5627" width="34.85546875" style="4" customWidth="1"/>
    <col min="5628" max="5628" width="9.85546875" style="4" customWidth="1"/>
    <col min="5629" max="5630" width="17" style="4" customWidth="1"/>
    <col min="5631" max="5631" width="17.42578125" style="4" customWidth="1"/>
    <col min="5632" max="5637" width="9.140625" style="4"/>
    <col min="5638" max="5639" width="11.7109375" style="4" customWidth="1"/>
    <col min="5640" max="5640" width="13" style="4" customWidth="1"/>
    <col min="5641" max="5641" width="15.5703125" style="4" customWidth="1"/>
    <col min="5642" max="5642" width="9.140625" style="4"/>
    <col min="5643" max="5643" width="11.7109375" style="4" customWidth="1"/>
    <col min="5644" max="5644" width="12.28515625" style="4" customWidth="1"/>
    <col min="5645" max="5645" width="24.140625" style="4" customWidth="1"/>
    <col min="5646" max="5646" width="20.85546875" style="4" customWidth="1"/>
    <col min="5647" max="5881" width="9.140625" style="4"/>
    <col min="5882" max="5882" width="14.5703125" style="4" bestFit="1" customWidth="1"/>
    <col min="5883" max="5883" width="34.85546875" style="4" customWidth="1"/>
    <col min="5884" max="5884" width="9.85546875" style="4" customWidth="1"/>
    <col min="5885" max="5886" width="17" style="4" customWidth="1"/>
    <col min="5887" max="5887" width="17.42578125" style="4" customWidth="1"/>
    <col min="5888" max="5893" width="9.140625" style="4"/>
    <col min="5894" max="5895" width="11.7109375" style="4" customWidth="1"/>
    <col min="5896" max="5896" width="13" style="4" customWidth="1"/>
    <col min="5897" max="5897" width="15.5703125" style="4" customWidth="1"/>
    <col min="5898" max="5898" width="9.140625" style="4"/>
    <col min="5899" max="5899" width="11.7109375" style="4" customWidth="1"/>
    <col min="5900" max="5900" width="12.28515625" style="4" customWidth="1"/>
    <col min="5901" max="5901" width="24.140625" style="4" customWidth="1"/>
    <col min="5902" max="5902" width="20.85546875" style="4" customWidth="1"/>
    <col min="5903" max="6137" width="9.140625" style="4"/>
    <col min="6138" max="6138" width="14.5703125" style="4" bestFit="1" customWidth="1"/>
    <col min="6139" max="6139" width="34.85546875" style="4" customWidth="1"/>
    <col min="6140" max="6140" width="9.85546875" style="4" customWidth="1"/>
    <col min="6141" max="6142" width="17" style="4" customWidth="1"/>
    <col min="6143" max="6143" width="17.42578125" style="4" customWidth="1"/>
    <col min="6144" max="6149" width="9.140625" style="4"/>
    <col min="6150" max="6151" width="11.7109375" style="4" customWidth="1"/>
    <col min="6152" max="6152" width="13" style="4" customWidth="1"/>
    <col min="6153" max="6153" width="15.5703125" style="4" customWidth="1"/>
    <col min="6154" max="6154" width="9.140625" style="4"/>
    <col min="6155" max="6155" width="11.7109375" style="4" customWidth="1"/>
    <col min="6156" max="6156" width="12.28515625" style="4" customWidth="1"/>
    <col min="6157" max="6157" width="24.140625" style="4" customWidth="1"/>
    <col min="6158" max="6158" width="20.85546875" style="4" customWidth="1"/>
    <col min="6159" max="6393" width="9.140625" style="4"/>
    <col min="6394" max="6394" width="14.5703125" style="4" bestFit="1" customWidth="1"/>
    <col min="6395" max="6395" width="34.85546875" style="4" customWidth="1"/>
    <col min="6396" max="6396" width="9.85546875" style="4" customWidth="1"/>
    <col min="6397" max="6398" width="17" style="4" customWidth="1"/>
    <col min="6399" max="6399" width="17.42578125" style="4" customWidth="1"/>
    <col min="6400" max="6405" width="9.140625" style="4"/>
    <col min="6406" max="6407" width="11.7109375" style="4" customWidth="1"/>
    <col min="6408" max="6408" width="13" style="4" customWidth="1"/>
    <col min="6409" max="6409" width="15.5703125" style="4" customWidth="1"/>
    <col min="6410" max="6410" width="9.140625" style="4"/>
    <col min="6411" max="6411" width="11.7109375" style="4" customWidth="1"/>
    <col min="6412" max="6412" width="12.28515625" style="4" customWidth="1"/>
    <col min="6413" max="6413" width="24.140625" style="4" customWidth="1"/>
    <col min="6414" max="6414" width="20.85546875" style="4" customWidth="1"/>
    <col min="6415" max="6649" width="9.140625" style="4"/>
    <col min="6650" max="6650" width="14.5703125" style="4" bestFit="1" customWidth="1"/>
    <col min="6651" max="6651" width="34.85546875" style="4" customWidth="1"/>
    <col min="6652" max="6652" width="9.85546875" style="4" customWidth="1"/>
    <col min="6653" max="6654" width="17" style="4" customWidth="1"/>
    <col min="6655" max="6655" width="17.42578125" style="4" customWidth="1"/>
    <col min="6656" max="6661" width="9.140625" style="4"/>
    <col min="6662" max="6663" width="11.7109375" style="4" customWidth="1"/>
    <col min="6664" max="6664" width="13" style="4" customWidth="1"/>
    <col min="6665" max="6665" width="15.5703125" style="4" customWidth="1"/>
    <col min="6666" max="6666" width="9.140625" style="4"/>
    <col min="6667" max="6667" width="11.7109375" style="4" customWidth="1"/>
    <col min="6668" max="6668" width="12.28515625" style="4" customWidth="1"/>
    <col min="6669" max="6669" width="24.140625" style="4" customWidth="1"/>
    <col min="6670" max="6670" width="20.85546875" style="4" customWidth="1"/>
    <col min="6671" max="6905" width="9.140625" style="4"/>
    <col min="6906" max="6906" width="14.5703125" style="4" bestFit="1" customWidth="1"/>
    <col min="6907" max="6907" width="34.85546875" style="4" customWidth="1"/>
    <col min="6908" max="6908" width="9.85546875" style="4" customWidth="1"/>
    <col min="6909" max="6910" width="17" style="4" customWidth="1"/>
    <col min="6911" max="6911" width="17.42578125" style="4" customWidth="1"/>
    <col min="6912" max="6917" width="9.140625" style="4"/>
    <col min="6918" max="6919" width="11.7109375" style="4" customWidth="1"/>
    <col min="6920" max="6920" width="13" style="4" customWidth="1"/>
    <col min="6921" max="6921" width="15.5703125" style="4" customWidth="1"/>
    <col min="6922" max="6922" width="9.140625" style="4"/>
    <col min="6923" max="6923" width="11.7109375" style="4" customWidth="1"/>
    <col min="6924" max="6924" width="12.28515625" style="4" customWidth="1"/>
    <col min="6925" max="6925" width="24.140625" style="4" customWidth="1"/>
    <col min="6926" max="6926" width="20.85546875" style="4" customWidth="1"/>
    <col min="6927" max="7161" width="9.140625" style="4"/>
    <col min="7162" max="7162" width="14.5703125" style="4" bestFit="1" customWidth="1"/>
    <col min="7163" max="7163" width="34.85546875" style="4" customWidth="1"/>
    <col min="7164" max="7164" width="9.85546875" style="4" customWidth="1"/>
    <col min="7165" max="7166" width="17" style="4" customWidth="1"/>
    <col min="7167" max="7167" width="17.42578125" style="4" customWidth="1"/>
    <col min="7168" max="7173" width="9.140625" style="4"/>
    <col min="7174" max="7175" width="11.7109375" style="4" customWidth="1"/>
    <col min="7176" max="7176" width="13" style="4" customWidth="1"/>
    <col min="7177" max="7177" width="15.5703125" style="4" customWidth="1"/>
    <col min="7178" max="7178" width="9.140625" style="4"/>
    <col min="7179" max="7179" width="11.7109375" style="4" customWidth="1"/>
    <col min="7180" max="7180" width="12.28515625" style="4" customWidth="1"/>
    <col min="7181" max="7181" width="24.140625" style="4" customWidth="1"/>
    <col min="7182" max="7182" width="20.85546875" style="4" customWidth="1"/>
    <col min="7183" max="7417" width="9.140625" style="4"/>
    <col min="7418" max="7418" width="14.5703125" style="4" bestFit="1" customWidth="1"/>
    <col min="7419" max="7419" width="34.85546875" style="4" customWidth="1"/>
    <col min="7420" max="7420" width="9.85546875" style="4" customWidth="1"/>
    <col min="7421" max="7422" width="17" style="4" customWidth="1"/>
    <col min="7423" max="7423" width="17.42578125" style="4" customWidth="1"/>
    <col min="7424" max="7429" width="9.140625" style="4"/>
    <col min="7430" max="7431" width="11.7109375" style="4" customWidth="1"/>
    <col min="7432" max="7432" width="13" style="4" customWidth="1"/>
    <col min="7433" max="7433" width="15.5703125" style="4" customWidth="1"/>
    <col min="7434" max="7434" width="9.140625" style="4"/>
    <col min="7435" max="7435" width="11.7109375" style="4" customWidth="1"/>
    <col min="7436" max="7436" width="12.28515625" style="4" customWidth="1"/>
    <col min="7437" max="7437" width="24.140625" style="4" customWidth="1"/>
    <col min="7438" max="7438" width="20.85546875" style="4" customWidth="1"/>
    <col min="7439" max="7673" width="9.140625" style="4"/>
    <col min="7674" max="7674" width="14.5703125" style="4" bestFit="1" customWidth="1"/>
    <col min="7675" max="7675" width="34.85546875" style="4" customWidth="1"/>
    <col min="7676" max="7676" width="9.85546875" style="4" customWidth="1"/>
    <col min="7677" max="7678" width="17" style="4" customWidth="1"/>
    <col min="7679" max="7679" width="17.42578125" style="4" customWidth="1"/>
    <col min="7680" max="7685" width="9.140625" style="4"/>
    <col min="7686" max="7687" width="11.7109375" style="4" customWidth="1"/>
    <col min="7688" max="7688" width="13" style="4" customWidth="1"/>
    <col min="7689" max="7689" width="15.5703125" style="4" customWidth="1"/>
    <col min="7690" max="7690" width="9.140625" style="4"/>
    <col min="7691" max="7691" width="11.7109375" style="4" customWidth="1"/>
    <col min="7692" max="7692" width="12.28515625" style="4" customWidth="1"/>
    <col min="7693" max="7693" width="24.140625" style="4" customWidth="1"/>
    <col min="7694" max="7694" width="20.85546875" style="4" customWidth="1"/>
    <col min="7695" max="7929" width="9.140625" style="4"/>
    <col min="7930" max="7930" width="14.5703125" style="4" bestFit="1" customWidth="1"/>
    <col min="7931" max="7931" width="34.85546875" style="4" customWidth="1"/>
    <col min="7932" max="7932" width="9.85546875" style="4" customWidth="1"/>
    <col min="7933" max="7934" width="17" style="4" customWidth="1"/>
    <col min="7935" max="7935" width="17.42578125" style="4" customWidth="1"/>
    <col min="7936" max="7941" width="9.140625" style="4"/>
    <col min="7942" max="7943" width="11.7109375" style="4" customWidth="1"/>
    <col min="7944" max="7944" width="13" style="4" customWidth="1"/>
    <col min="7945" max="7945" width="15.5703125" style="4" customWidth="1"/>
    <col min="7946" max="7946" width="9.140625" style="4"/>
    <col min="7947" max="7947" width="11.7109375" style="4" customWidth="1"/>
    <col min="7948" max="7948" width="12.28515625" style="4" customWidth="1"/>
    <col min="7949" max="7949" width="24.140625" style="4" customWidth="1"/>
    <col min="7950" max="7950" width="20.85546875" style="4" customWidth="1"/>
    <col min="7951" max="8185" width="9.140625" style="4"/>
    <col min="8186" max="8186" width="14.5703125" style="4" bestFit="1" customWidth="1"/>
    <col min="8187" max="8187" width="34.85546875" style="4" customWidth="1"/>
    <col min="8188" max="8188" width="9.85546875" style="4" customWidth="1"/>
    <col min="8189" max="8190" width="17" style="4" customWidth="1"/>
    <col min="8191" max="8191" width="17.42578125" style="4" customWidth="1"/>
    <col min="8192" max="8197" width="9.140625" style="4"/>
    <col min="8198" max="8199" width="11.7109375" style="4" customWidth="1"/>
    <col min="8200" max="8200" width="13" style="4" customWidth="1"/>
    <col min="8201" max="8201" width="15.5703125" style="4" customWidth="1"/>
    <col min="8202" max="8202" width="9.140625" style="4"/>
    <col min="8203" max="8203" width="11.7109375" style="4" customWidth="1"/>
    <col min="8204" max="8204" width="12.28515625" style="4" customWidth="1"/>
    <col min="8205" max="8205" width="24.140625" style="4" customWidth="1"/>
    <col min="8206" max="8206" width="20.85546875" style="4" customWidth="1"/>
    <col min="8207" max="8441" width="9.140625" style="4"/>
    <col min="8442" max="8442" width="14.5703125" style="4" bestFit="1" customWidth="1"/>
    <col min="8443" max="8443" width="34.85546875" style="4" customWidth="1"/>
    <col min="8444" max="8444" width="9.85546875" style="4" customWidth="1"/>
    <col min="8445" max="8446" width="17" style="4" customWidth="1"/>
    <col min="8447" max="8447" width="17.42578125" style="4" customWidth="1"/>
    <col min="8448" max="8453" width="9.140625" style="4"/>
    <col min="8454" max="8455" width="11.7109375" style="4" customWidth="1"/>
    <col min="8456" max="8456" width="13" style="4" customWidth="1"/>
    <col min="8457" max="8457" width="15.5703125" style="4" customWidth="1"/>
    <col min="8458" max="8458" width="9.140625" style="4"/>
    <col min="8459" max="8459" width="11.7109375" style="4" customWidth="1"/>
    <col min="8460" max="8460" width="12.28515625" style="4" customWidth="1"/>
    <col min="8461" max="8461" width="24.140625" style="4" customWidth="1"/>
    <col min="8462" max="8462" width="20.85546875" style="4" customWidth="1"/>
    <col min="8463" max="8697" width="9.140625" style="4"/>
    <col min="8698" max="8698" width="14.5703125" style="4" bestFit="1" customWidth="1"/>
    <col min="8699" max="8699" width="34.85546875" style="4" customWidth="1"/>
    <col min="8700" max="8700" width="9.85546875" style="4" customWidth="1"/>
    <col min="8701" max="8702" width="17" style="4" customWidth="1"/>
    <col min="8703" max="8703" width="17.42578125" style="4" customWidth="1"/>
    <col min="8704" max="8709" width="9.140625" style="4"/>
    <col min="8710" max="8711" width="11.7109375" style="4" customWidth="1"/>
    <col min="8712" max="8712" width="13" style="4" customWidth="1"/>
    <col min="8713" max="8713" width="15.5703125" style="4" customWidth="1"/>
    <col min="8714" max="8714" width="9.140625" style="4"/>
    <col min="8715" max="8715" width="11.7109375" style="4" customWidth="1"/>
    <col min="8716" max="8716" width="12.28515625" style="4" customWidth="1"/>
    <col min="8717" max="8717" width="24.140625" style="4" customWidth="1"/>
    <col min="8718" max="8718" width="20.85546875" style="4" customWidth="1"/>
    <col min="8719" max="8953" width="9.140625" style="4"/>
    <col min="8954" max="8954" width="14.5703125" style="4" bestFit="1" customWidth="1"/>
    <col min="8955" max="8955" width="34.85546875" style="4" customWidth="1"/>
    <col min="8956" max="8956" width="9.85546875" style="4" customWidth="1"/>
    <col min="8957" max="8958" width="17" style="4" customWidth="1"/>
    <col min="8959" max="8959" width="17.42578125" style="4" customWidth="1"/>
    <col min="8960" max="8965" width="9.140625" style="4"/>
    <col min="8966" max="8967" width="11.7109375" style="4" customWidth="1"/>
    <col min="8968" max="8968" width="13" style="4" customWidth="1"/>
    <col min="8969" max="8969" width="15.5703125" style="4" customWidth="1"/>
    <col min="8970" max="8970" width="9.140625" style="4"/>
    <col min="8971" max="8971" width="11.7109375" style="4" customWidth="1"/>
    <col min="8972" max="8972" width="12.28515625" style="4" customWidth="1"/>
    <col min="8973" max="8973" width="24.140625" style="4" customWidth="1"/>
    <col min="8974" max="8974" width="20.85546875" style="4" customWidth="1"/>
    <col min="8975" max="9209" width="9.140625" style="4"/>
    <col min="9210" max="9210" width="14.5703125" style="4" bestFit="1" customWidth="1"/>
    <col min="9211" max="9211" width="34.85546875" style="4" customWidth="1"/>
    <col min="9212" max="9212" width="9.85546875" style="4" customWidth="1"/>
    <col min="9213" max="9214" width="17" style="4" customWidth="1"/>
    <col min="9215" max="9215" width="17.42578125" style="4" customWidth="1"/>
    <col min="9216" max="9221" width="9.140625" style="4"/>
    <col min="9222" max="9223" width="11.7109375" style="4" customWidth="1"/>
    <col min="9224" max="9224" width="13" style="4" customWidth="1"/>
    <col min="9225" max="9225" width="15.5703125" style="4" customWidth="1"/>
    <col min="9226" max="9226" width="9.140625" style="4"/>
    <col min="9227" max="9227" width="11.7109375" style="4" customWidth="1"/>
    <col min="9228" max="9228" width="12.28515625" style="4" customWidth="1"/>
    <col min="9229" max="9229" width="24.140625" style="4" customWidth="1"/>
    <col min="9230" max="9230" width="20.85546875" style="4" customWidth="1"/>
    <col min="9231" max="9465" width="9.140625" style="4"/>
    <col min="9466" max="9466" width="14.5703125" style="4" bestFit="1" customWidth="1"/>
    <col min="9467" max="9467" width="34.85546875" style="4" customWidth="1"/>
    <col min="9468" max="9468" width="9.85546875" style="4" customWidth="1"/>
    <col min="9469" max="9470" width="17" style="4" customWidth="1"/>
    <col min="9471" max="9471" width="17.42578125" style="4" customWidth="1"/>
    <col min="9472" max="9477" width="9.140625" style="4"/>
    <col min="9478" max="9479" width="11.7109375" style="4" customWidth="1"/>
    <col min="9480" max="9480" width="13" style="4" customWidth="1"/>
    <col min="9481" max="9481" width="15.5703125" style="4" customWidth="1"/>
    <col min="9482" max="9482" width="9.140625" style="4"/>
    <col min="9483" max="9483" width="11.7109375" style="4" customWidth="1"/>
    <col min="9484" max="9484" width="12.28515625" style="4" customWidth="1"/>
    <col min="9485" max="9485" width="24.140625" style="4" customWidth="1"/>
    <col min="9486" max="9486" width="20.85546875" style="4" customWidth="1"/>
    <col min="9487" max="9721" width="9.140625" style="4"/>
    <col min="9722" max="9722" width="14.5703125" style="4" bestFit="1" customWidth="1"/>
    <col min="9723" max="9723" width="34.85546875" style="4" customWidth="1"/>
    <col min="9724" max="9724" width="9.85546875" style="4" customWidth="1"/>
    <col min="9725" max="9726" width="17" style="4" customWidth="1"/>
    <col min="9727" max="9727" width="17.42578125" style="4" customWidth="1"/>
    <col min="9728" max="9733" width="9.140625" style="4"/>
    <col min="9734" max="9735" width="11.7109375" style="4" customWidth="1"/>
    <col min="9736" max="9736" width="13" style="4" customWidth="1"/>
    <col min="9737" max="9737" width="15.5703125" style="4" customWidth="1"/>
    <col min="9738" max="9738" width="9.140625" style="4"/>
    <col min="9739" max="9739" width="11.7109375" style="4" customWidth="1"/>
    <col min="9740" max="9740" width="12.28515625" style="4" customWidth="1"/>
    <col min="9741" max="9741" width="24.140625" style="4" customWidth="1"/>
    <col min="9742" max="9742" width="20.85546875" style="4" customWidth="1"/>
    <col min="9743" max="9977" width="9.140625" style="4"/>
    <col min="9978" max="9978" width="14.5703125" style="4" bestFit="1" customWidth="1"/>
    <col min="9979" max="9979" width="34.85546875" style="4" customWidth="1"/>
    <col min="9980" max="9980" width="9.85546875" style="4" customWidth="1"/>
    <col min="9981" max="9982" width="17" style="4" customWidth="1"/>
    <col min="9983" max="9983" width="17.42578125" style="4" customWidth="1"/>
    <col min="9984" max="9989" width="9.140625" style="4"/>
    <col min="9990" max="9991" width="11.7109375" style="4" customWidth="1"/>
    <col min="9992" max="9992" width="13" style="4" customWidth="1"/>
    <col min="9993" max="9993" width="15.5703125" style="4" customWidth="1"/>
    <col min="9994" max="9994" width="9.140625" style="4"/>
    <col min="9995" max="9995" width="11.7109375" style="4" customWidth="1"/>
    <col min="9996" max="9996" width="12.28515625" style="4" customWidth="1"/>
    <col min="9997" max="9997" width="24.140625" style="4" customWidth="1"/>
    <col min="9998" max="9998" width="20.85546875" style="4" customWidth="1"/>
    <col min="9999" max="10233" width="9.140625" style="4"/>
    <col min="10234" max="10234" width="14.5703125" style="4" bestFit="1" customWidth="1"/>
    <col min="10235" max="10235" width="34.85546875" style="4" customWidth="1"/>
    <col min="10236" max="10236" width="9.85546875" style="4" customWidth="1"/>
    <col min="10237" max="10238" width="17" style="4" customWidth="1"/>
    <col min="10239" max="10239" width="17.42578125" style="4" customWidth="1"/>
    <col min="10240" max="10245" width="9.140625" style="4"/>
    <col min="10246" max="10247" width="11.7109375" style="4" customWidth="1"/>
    <col min="10248" max="10248" width="13" style="4" customWidth="1"/>
    <col min="10249" max="10249" width="15.5703125" style="4" customWidth="1"/>
    <col min="10250" max="10250" width="9.140625" style="4"/>
    <col min="10251" max="10251" width="11.7109375" style="4" customWidth="1"/>
    <col min="10252" max="10252" width="12.28515625" style="4" customWidth="1"/>
    <col min="10253" max="10253" width="24.140625" style="4" customWidth="1"/>
    <col min="10254" max="10254" width="20.85546875" style="4" customWidth="1"/>
    <col min="10255" max="10489" width="9.140625" style="4"/>
    <col min="10490" max="10490" width="14.5703125" style="4" bestFit="1" customWidth="1"/>
    <col min="10491" max="10491" width="34.85546875" style="4" customWidth="1"/>
    <col min="10492" max="10492" width="9.85546875" style="4" customWidth="1"/>
    <col min="10493" max="10494" width="17" style="4" customWidth="1"/>
    <col min="10495" max="10495" width="17.42578125" style="4" customWidth="1"/>
    <col min="10496" max="10501" width="9.140625" style="4"/>
    <col min="10502" max="10503" width="11.7109375" style="4" customWidth="1"/>
    <col min="10504" max="10504" width="13" style="4" customWidth="1"/>
    <col min="10505" max="10505" width="15.5703125" style="4" customWidth="1"/>
    <col min="10506" max="10506" width="9.140625" style="4"/>
    <col min="10507" max="10507" width="11.7109375" style="4" customWidth="1"/>
    <col min="10508" max="10508" width="12.28515625" style="4" customWidth="1"/>
    <col min="10509" max="10509" width="24.140625" style="4" customWidth="1"/>
    <col min="10510" max="10510" width="20.85546875" style="4" customWidth="1"/>
    <col min="10511" max="10745" width="9.140625" style="4"/>
    <col min="10746" max="10746" width="14.5703125" style="4" bestFit="1" customWidth="1"/>
    <col min="10747" max="10747" width="34.85546875" style="4" customWidth="1"/>
    <col min="10748" max="10748" width="9.85546875" style="4" customWidth="1"/>
    <col min="10749" max="10750" width="17" style="4" customWidth="1"/>
    <col min="10751" max="10751" width="17.42578125" style="4" customWidth="1"/>
    <col min="10752" max="10757" width="9.140625" style="4"/>
    <col min="10758" max="10759" width="11.7109375" style="4" customWidth="1"/>
    <col min="10760" max="10760" width="13" style="4" customWidth="1"/>
    <col min="10761" max="10761" width="15.5703125" style="4" customWidth="1"/>
    <col min="10762" max="10762" width="9.140625" style="4"/>
    <col min="10763" max="10763" width="11.7109375" style="4" customWidth="1"/>
    <col min="10764" max="10764" width="12.28515625" style="4" customWidth="1"/>
    <col min="10765" max="10765" width="24.140625" style="4" customWidth="1"/>
    <col min="10766" max="10766" width="20.85546875" style="4" customWidth="1"/>
    <col min="10767" max="11001" width="9.140625" style="4"/>
    <col min="11002" max="11002" width="14.5703125" style="4" bestFit="1" customWidth="1"/>
    <col min="11003" max="11003" width="34.85546875" style="4" customWidth="1"/>
    <col min="11004" max="11004" width="9.85546875" style="4" customWidth="1"/>
    <col min="11005" max="11006" width="17" style="4" customWidth="1"/>
    <col min="11007" max="11007" width="17.42578125" style="4" customWidth="1"/>
    <col min="11008" max="11013" width="9.140625" style="4"/>
    <col min="11014" max="11015" width="11.7109375" style="4" customWidth="1"/>
    <col min="11016" max="11016" width="13" style="4" customWidth="1"/>
    <col min="11017" max="11017" width="15.5703125" style="4" customWidth="1"/>
    <col min="11018" max="11018" width="9.140625" style="4"/>
    <col min="11019" max="11019" width="11.7109375" style="4" customWidth="1"/>
    <col min="11020" max="11020" width="12.28515625" style="4" customWidth="1"/>
    <col min="11021" max="11021" width="24.140625" style="4" customWidth="1"/>
    <col min="11022" max="11022" width="20.85546875" style="4" customWidth="1"/>
    <col min="11023" max="11257" width="9.140625" style="4"/>
    <col min="11258" max="11258" width="14.5703125" style="4" bestFit="1" customWidth="1"/>
    <col min="11259" max="11259" width="34.85546875" style="4" customWidth="1"/>
    <col min="11260" max="11260" width="9.85546875" style="4" customWidth="1"/>
    <col min="11261" max="11262" width="17" style="4" customWidth="1"/>
    <col min="11263" max="11263" width="17.42578125" style="4" customWidth="1"/>
    <col min="11264" max="11269" width="9.140625" style="4"/>
    <col min="11270" max="11271" width="11.7109375" style="4" customWidth="1"/>
    <col min="11272" max="11272" width="13" style="4" customWidth="1"/>
    <col min="11273" max="11273" width="15.5703125" style="4" customWidth="1"/>
    <col min="11274" max="11274" width="9.140625" style="4"/>
    <col min="11275" max="11275" width="11.7109375" style="4" customWidth="1"/>
    <col min="11276" max="11276" width="12.28515625" style="4" customWidth="1"/>
    <col min="11277" max="11277" width="24.140625" style="4" customWidth="1"/>
    <col min="11278" max="11278" width="20.85546875" style="4" customWidth="1"/>
    <col min="11279" max="11513" width="9.140625" style="4"/>
    <col min="11514" max="11514" width="14.5703125" style="4" bestFit="1" customWidth="1"/>
    <col min="11515" max="11515" width="34.85546875" style="4" customWidth="1"/>
    <col min="11516" max="11516" width="9.85546875" style="4" customWidth="1"/>
    <col min="11517" max="11518" width="17" style="4" customWidth="1"/>
    <col min="11519" max="11519" width="17.42578125" style="4" customWidth="1"/>
    <col min="11520" max="11525" width="9.140625" style="4"/>
    <col min="11526" max="11527" width="11.7109375" style="4" customWidth="1"/>
    <col min="11528" max="11528" width="13" style="4" customWidth="1"/>
    <col min="11529" max="11529" width="15.5703125" style="4" customWidth="1"/>
    <col min="11530" max="11530" width="9.140625" style="4"/>
    <col min="11531" max="11531" width="11.7109375" style="4" customWidth="1"/>
    <col min="11532" max="11532" width="12.28515625" style="4" customWidth="1"/>
    <col min="11533" max="11533" width="24.140625" style="4" customWidth="1"/>
    <col min="11534" max="11534" width="20.85546875" style="4" customWidth="1"/>
    <col min="11535" max="11769" width="9.140625" style="4"/>
    <col min="11770" max="11770" width="14.5703125" style="4" bestFit="1" customWidth="1"/>
    <col min="11771" max="11771" width="34.85546875" style="4" customWidth="1"/>
    <col min="11772" max="11772" width="9.85546875" style="4" customWidth="1"/>
    <col min="11773" max="11774" width="17" style="4" customWidth="1"/>
    <col min="11775" max="11775" width="17.42578125" style="4" customWidth="1"/>
    <col min="11776" max="11781" width="9.140625" style="4"/>
    <col min="11782" max="11783" width="11.7109375" style="4" customWidth="1"/>
    <col min="11784" max="11784" width="13" style="4" customWidth="1"/>
    <col min="11785" max="11785" width="15.5703125" style="4" customWidth="1"/>
    <col min="11786" max="11786" width="9.140625" style="4"/>
    <col min="11787" max="11787" width="11.7109375" style="4" customWidth="1"/>
    <col min="11788" max="11788" width="12.28515625" style="4" customWidth="1"/>
    <col min="11789" max="11789" width="24.140625" style="4" customWidth="1"/>
    <col min="11790" max="11790" width="20.85546875" style="4" customWidth="1"/>
    <col min="11791" max="12025" width="9.140625" style="4"/>
    <col min="12026" max="12026" width="14.5703125" style="4" bestFit="1" customWidth="1"/>
    <col min="12027" max="12027" width="34.85546875" style="4" customWidth="1"/>
    <col min="12028" max="12028" width="9.85546875" style="4" customWidth="1"/>
    <col min="12029" max="12030" width="17" style="4" customWidth="1"/>
    <col min="12031" max="12031" width="17.42578125" style="4" customWidth="1"/>
    <col min="12032" max="12037" width="9.140625" style="4"/>
    <col min="12038" max="12039" width="11.7109375" style="4" customWidth="1"/>
    <col min="12040" max="12040" width="13" style="4" customWidth="1"/>
    <col min="12041" max="12041" width="15.5703125" style="4" customWidth="1"/>
    <col min="12042" max="12042" width="9.140625" style="4"/>
    <col min="12043" max="12043" width="11.7109375" style="4" customWidth="1"/>
    <col min="12044" max="12044" width="12.28515625" style="4" customWidth="1"/>
    <col min="12045" max="12045" width="24.140625" style="4" customWidth="1"/>
    <col min="12046" max="12046" width="20.85546875" style="4" customWidth="1"/>
    <col min="12047" max="12281" width="9.140625" style="4"/>
    <col min="12282" max="12282" width="14.5703125" style="4" bestFit="1" customWidth="1"/>
    <col min="12283" max="12283" width="34.85546875" style="4" customWidth="1"/>
    <col min="12284" max="12284" width="9.85546875" style="4" customWidth="1"/>
    <col min="12285" max="12286" width="17" style="4" customWidth="1"/>
    <col min="12287" max="12287" width="17.42578125" style="4" customWidth="1"/>
    <col min="12288" max="12293" width="9.140625" style="4"/>
    <col min="12294" max="12295" width="11.7109375" style="4" customWidth="1"/>
    <col min="12296" max="12296" width="13" style="4" customWidth="1"/>
    <col min="12297" max="12297" width="15.5703125" style="4" customWidth="1"/>
    <col min="12298" max="12298" width="9.140625" style="4"/>
    <col min="12299" max="12299" width="11.7109375" style="4" customWidth="1"/>
    <col min="12300" max="12300" width="12.28515625" style="4" customWidth="1"/>
    <col min="12301" max="12301" width="24.140625" style="4" customWidth="1"/>
    <col min="12302" max="12302" width="20.85546875" style="4" customWidth="1"/>
    <col min="12303" max="12537" width="9.140625" style="4"/>
    <col min="12538" max="12538" width="14.5703125" style="4" bestFit="1" customWidth="1"/>
    <col min="12539" max="12539" width="34.85546875" style="4" customWidth="1"/>
    <col min="12540" max="12540" width="9.85546875" style="4" customWidth="1"/>
    <col min="12541" max="12542" width="17" style="4" customWidth="1"/>
    <col min="12543" max="12543" width="17.42578125" style="4" customWidth="1"/>
    <col min="12544" max="12549" width="9.140625" style="4"/>
    <col min="12550" max="12551" width="11.7109375" style="4" customWidth="1"/>
    <col min="12552" max="12552" width="13" style="4" customWidth="1"/>
    <col min="12553" max="12553" width="15.5703125" style="4" customWidth="1"/>
    <col min="12554" max="12554" width="9.140625" style="4"/>
    <col min="12555" max="12555" width="11.7109375" style="4" customWidth="1"/>
    <col min="12556" max="12556" width="12.28515625" style="4" customWidth="1"/>
    <col min="12557" max="12557" width="24.140625" style="4" customWidth="1"/>
    <col min="12558" max="12558" width="20.85546875" style="4" customWidth="1"/>
    <col min="12559" max="12793" width="9.140625" style="4"/>
    <col min="12794" max="12794" width="14.5703125" style="4" bestFit="1" customWidth="1"/>
    <col min="12795" max="12795" width="34.85546875" style="4" customWidth="1"/>
    <col min="12796" max="12796" width="9.85546875" style="4" customWidth="1"/>
    <col min="12797" max="12798" width="17" style="4" customWidth="1"/>
    <col min="12799" max="12799" width="17.42578125" style="4" customWidth="1"/>
    <col min="12800" max="12805" width="9.140625" style="4"/>
    <col min="12806" max="12807" width="11.7109375" style="4" customWidth="1"/>
    <col min="12808" max="12808" width="13" style="4" customWidth="1"/>
    <col min="12809" max="12809" width="15.5703125" style="4" customWidth="1"/>
    <col min="12810" max="12810" width="9.140625" style="4"/>
    <col min="12811" max="12811" width="11.7109375" style="4" customWidth="1"/>
    <col min="12812" max="12812" width="12.28515625" style="4" customWidth="1"/>
    <col min="12813" max="12813" width="24.140625" style="4" customWidth="1"/>
    <col min="12814" max="12814" width="20.85546875" style="4" customWidth="1"/>
    <col min="12815" max="13049" width="9.140625" style="4"/>
    <col min="13050" max="13050" width="14.5703125" style="4" bestFit="1" customWidth="1"/>
    <col min="13051" max="13051" width="34.85546875" style="4" customWidth="1"/>
    <col min="13052" max="13052" width="9.85546875" style="4" customWidth="1"/>
    <col min="13053" max="13054" width="17" style="4" customWidth="1"/>
    <col min="13055" max="13055" width="17.42578125" style="4" customWidth="1"/>
    <col min="13056" max="13061" width="9.140625" style="4"/>
    <col min="13062" max="13063" width="11.7109375" style="4" customWidth="1"/>
    <col min="13064" max="13064" width="13" style="4" customWidth="1"/>
    <col min="13065" max="13065" width="15.5703125" style="4" customWidth="1"/>
    <col min="13066" max="13066" width="9.140625" style="4"/>
    <col min="13067" max="13067" width="11.7109375" style="4" customWidth="1"/>
    <col min="13068" max="13068" width="12.28515625" style="4" customWidth="1"/>
    <col min="13069" max="13069" width="24.140625" style="4" customWidth="1"/>
    <col min="13070" max="13070" width="20.85546875" style="4" customWidth="1"/>
    <col min="13071" max="13305" width="9.140625" style="4"/>
    <col min="13306" max="13306" width="14.5703125" style="4" bestFit="1" customWidth="1"/>
    <col min="13307" max="13307" width="34.85546875" style="4" customWidth="1"/>
    <col min="13308" max="13308" width="9.85546875" style="4" customWidth="1"/>
    <col min="13309" max="13310" width="17" style="4" customWidth="1"/>
    <col min="13311" max="13311" width="17.42578125" style="4" customWidth="1"/>
    <col min="13312" max="13317" width="9.140625" style="4"/>
    <col min="13318" max="13319" width="11.7109375" style="4" customWidth="1"/>
    <col min="13320" max="13320" width="13" style="4" customWidth="1"/>
    <col min="13321" max="13321" width="15.5703125" style="4" customWidth="1"/>
    <col min="13322" max="13322" width="9.140625" style="4"/>
    <col min="13323" max="13323" width="11.7109375" style="4" customWidth="1"/>
    <col min="13324" max="13324" width="12.28515625" style="4" customWidth="1"/>
    <col min="13325" max="13325" width="24.140625" style="4" customWidth="1"/>
    <col min="13326" max="13326" width="20.85546875" style="4" customWidth="1"/>
    <col min="13327" max="13561" width="9.140625" style="4"/>
    <col min="13562" max="13562" width="14.5703125" style="4" bestFit="1" customWidth="1"/>
    <col min="13563" max="13563" width="34.85546875" style="4" customWidth="1"/>
    <col min="13564" max="13564" width="9.85546875" style="4" customWidth="1"/>
    <col min="13565" max="13566" width="17" style="4" customWidth="1"/>
    <col min="13567" max="13567" width="17.42578125" style="4" customWidth="1"/>
    <col min="13568" max="13573" width="9.140625" style="4"/>
    <col min="13574" max="13575" width="11.7109375" style="4" customWidth="1"/>
    <col min="13576" max="13576" width="13" style="4" customWidth="1"/>
    <col min="13577" max="13577" width="15.5703125" style="4" customWidth="1"/>
    <col min="13578" max="13578" width="9.140625" style="4"/>
    <col min="13579" max="13579" width="11.7109375" style="4" customWidth="1"/>
    <col min="13580" max="13580" width="12.28515625" style="4" customWidth="1"/>
    <col min="13581" max="13581" width="24.140625" style="4" customWidth="1"/>
    <col min="13582" max="13582" width="20.85546875" style="4" customWidth="1"/>
    <col min="13583" max="13817" width="9.140625" style="4"/>
    <col min="13818" max="13818" width="14.5703125" style="4" bestFit="1" customWidth="1"/>
    <col min="13819" max="13819" width="34.85546875" style="4" customWidth="1"/>
    <col min="13820" max="13820" width="9.85546875" style="4" customWidth="1"/>
    <col min="13821" max="13822" width="17" style="4" customWidth="1"/>
    <col min="13823" max="13823" width="17.42578125" style="4" customWidth="1"/>
    <col min="13824" max="13829" width="9.140625" style="4"/>
    <col min="13830" max="13831" width="11.7109375" style="4" customWidth="1"/>
    <col min="13832" max="13832" width="13" style="4" customWidth="1"/>
    <col min="13833" max="13833" width="15.5703125" style="4" customWidth="1"/>
    <col min="13834" max="13834" width="9.140625" style="4"/>
    <col min="13835" max="13835" width="11.7109375" style="4" customWidth="1"/>
    <col min="13836" max="13836" width="12.28515625" style="4" customWidth="1"/>
    <col min="13837" max="13837" width="24.140625" style="4" customWidth="1"/>
    <col min="13838" max="13838" width="20.85546875" style="4" customWidth="1"/>
    <col min="13839" max="14073" width="9.140625" style="4"/>
    <col min="14074" max="14074" width="14.5703125" style="4" bestFit="1" customWidth="1"/>
    <col min="14075" max="14075" width="34.85546875" style="4" customWidth="1"/>
    <col min="14076" max="14076" width="9.85546875" style="4" customWidth="1"/>
    <col min="14077" max="14078" width="17" style="4" customWidth="1"/>
    <col min="14079" max="14079" width="17.42578125" style="4" customWidth="1"/>
    <col min="14080" max="14085" width="9.140625" style="4"/>
    <col min="14086" max="14087" width="11.7109375" style="4" customWidth="1"/>
    <col min="14088" max="14088" width="13" style="4" customWidth="1"/>
    <col min="14089" max="14089" width="15.5703125" style="4" customWidth="1"/>
    <col min="14090" max="14090" width="9.140625" style="4"/>
    <col min="14091" max="14091" width="11.7109375" style="4" customWidth="1"/>
    <col min="14092" max="14092" width="12.28515625" style="4" customWidth="1"/>
    <col min="14093" max="14093" width="24.140625" style="4" customWidth="1"/>
    <col min="14094" max="14094" width="20.85546875" style="4" customWidth="1"/>
    <col min="14095" max="14329" width="9.140625" style="4"/>
    <col min="14330" max="14330" width="14.5703125" style="4" bestFit="1" customWidth="1"/>
    <col min="14331" max="14331" width="34.85546875" style="4" customWidth="1"/>
    <col min="14332" max="14332" width="9.85546875" style="4" customWidth="1"/>
    <col min="14333" max="14334" width="17" style="4" customWidth="1"/>
    <col min="14335" max="14335" width="17.42578125" style="4" customWidth="1"/>
    <col min="14336" max="14341" width="9.140625" style="4"/>
    <col min="14342" max="14343" width="11.7109375" style="4" customWidth="1"/>
    <col min="14344" max="14344" width="13" style="4" customWidth="1"/>
    <col min="14345" max="14345" width="15.5703125" style="4" customWidth="1"/>
    <col min="14346" max="14346" width="9.140625" style="4"/>
    <col min="14347" max="14347" width="11.7109375" style="4" customWidth="1"/>
    <col min="14348" max="14348" width="12.28515625" style="4" customWidth="1"/>
    <col min="14349" max="14349" width="24.140625" style="4" customWidth="1"/>
    <col min="14350" max="14350" width="20.85546875" style="4" customWidth="1"/>
    <col min="14351" max="14585" width="9.140625" style="4"/>
    <col min="14586" max="14586" width="14.5703125" style="4" bestFit="1" customWidth="1"/>
    <col min="14587" max="14587" width="34.85546875" style="4" customWidth="1"/>
    <col min="14588" max="14588" width="9.85546875" style="4" customWidth="1"/>
    <col min="14589" max="14590" width="17" style="4" customWidth="1"/>
    <col min="14591" max="14591" width="17.42578125" style="4" customWidth="1"/>
    <col min="14592" max="14597" width="9.140625" style="4"/>
    <col min="14598" max="14599" width="11.7109375" style="4" customWidth="1"/>
    <col min="14600" max="14600" width="13" style="4" customWidth="1"/>
    <col min="14601" max="14601" width="15.5703125" style="4" customWidth="1"/>
    <col min="14602" max="14602" width="9.140625" style="4"/>
    <col min="14603" max="14603" width="11.7109375" style="4" customWidth="1"/>
    <col min="14604" max="14604" width="12.28515625" style="4" customWidth="1"/>
    <col min="14605" max="14605" width="24.140625" style="4" customWidth="1"/>
    <col min="14606" max="14606" width="20.85546875" style="4" customWidth="1"/>
    <col min="14607" max="14841" width="9.140625" style="4"/>
    <col min="14842" max="14842" width="14.5703125" style="4" bestFit="1" customWidth="1"/>
    <col min="14843" max="14843" width="34.85546875" style="4" customWidth="1"/>
    <col min="14844" max="14844" width="9.85546875" style="4" customWidth="1"/>
    <col min="14845" max="14846" width="17" style="4" customWidth="1"/>
    <col min="14847" max="14847" width="17.42578125" style="4" customWidth="1"/>
    <col min="14848" max="14853" width="9.140625" style="4"/>
    <col min="14854" max="14855" width="11.7109375" style="4" customWidth="1"/>
    <col min="14856" max="14856" width="13" style="4" customWidth="1"/>
    <col min="14857" max="14857" width="15.5703125" style="4" customWidth="1"/>
    <col min="14858" max="14858" width="9.140625" style="4"/>
    <col min="14859" max="14859" width="11.7109375" style="4" customWidth="1"/>
    <col min="14860" max="14860" width="12.28515625" style="4" customWidth="1"/>
    <col min="14861" max="14861" width="24.140625" style="4" customWidth="1"/>
    <col min="14862" max="14862" width="20.85546875" style="4" customWidth="1"/>
    <col min="14863" max="15097" width="9.140625" style="4"/>
    <col min="15098" max="15098" width="14.5703125" style="4" bestFit="1" customWidth="1"/>
    <col min="15099" max="15099" width="34.85546875" style="4" customWidth="1"/>
    <col min="15100" max="15100" width="9.85546875" style="4" customWidth="1"/>
    <col min="15101" max="15102" width="17" style="4" customWidth="1"/>
    <col min="15103" max="15103" width="17.42578125" style="4" customWidth="1"/>
    <col min="15104" max="15109" width="9.140625" style="4"/>
    <col min="15110" max="15111" width="11.7109375" style="4" customWidth="1"/>
    <col min="15112" max="15112" width="13" style="4" customWidth="1"/>
    <col min="15113" max="15113" width="15.5703125" style="4" customWidth="1"/>
    <col min="15114" max="15114" width="9.140625" style="4"/>
    <col min="15115" max="15115" width="11.7109375" style="4" customWidth="1"/>
    <col min="15116" max="15116" width="12.28515625" style="4" customWidth="1"/>
    <col min="15117" max="15117" width="24.140625" style="4" customWidth="1"/>
    <col min="15118" max="15118" width="20.85546875" style="4" customWidth="1"/>
    <col min="15119" max="15353" width="9.140625" style="4"/>
    <col min="15354" max="15354" width="14.5703125" style="4" bestFit="1" customWidth="1"/>
    <col min="15355" max="15355" width="34.85546875" style="4" customWidth="1"/>
    <col min="15356" max="15356" width="9.85546875" style="4" customWidth="1"/>
    <col min="15357" max="15358" width="17" style="4" customWidth="1"/>
    <col min="15359" max="15359" width="17.42578125" style="4" customWidth="1"/>
    <col min="15360" max="15365" width="9.140625" style="4"/>
    <col min="15366" max="15367" width="11.7109375" style="4" customWidth="1"/>
    <col min="15368" max="15368" width="13" style="4" customWidth="1"/>
    <col min="15369" max="15369" width="15.5703125" style="4" customWidth="1"/>
    <col min="15370" max="15370" width="9.140625" style="4"/>
    <col min="15371" max="15371" width="11.7109375" style="4" customWidth="1"/>
    <col min="15372" max="15372" width="12.28515625" style="4" customWidth="1"/>
    <col min="15373" max="15373" width="24.140625" style="4" customWidth="1"/>
    <col min="15374" max="15374" width="20.85546875" style="4" customWidth="1"/>
    <col min="15375" max="15609" width="9.140625" style="4"/>
    <col min="15610" max="15610" width="14.5703125" style="4" bestFit="1" customWidth="1"/>
    <col min="15611" max="15611" width="34.85546875" style="4" customWidth="1"/>
    <col min="15612" max="15612" width="9.85546875" style="4" customWidth="1"/>
    <col min="15613" max="15614" width="17" style="4" customWidth="1"/>
    <col min="15615" max="15615" width="17.42578125" style="4" customWidth="1"/>
    <col min="15616" max="15621" width="9.140625" style="4"/>
    <col min="15622" max="15623" width="11.7109375" style="4" customWidth="1"/>
    <col min="15624" max="15624" width="13" style="4" customWidth="1"/>
    <col min="15625" max="15625" width="15.5703125" style="4" customWidth="1"/>
    <col min="15626" max="15626" width="9.140625" style="4"/>
    <col min="15627" max="15627" width="11.7109375" style="4" customWidth="1"/>
    <col min="15628" max="15628" width="12.28515625" style="4" customWidth="1"/>
    <col min="15629" max="15629" width="24.140625" style="4" customWidth="1"/>
    <col min="15630" max="15630" width="20.85546875" style="4" customWidth="1"/>
    <col min="15631" max="15865" width="9.140625" style="4"/>
    <col min="15866" max="15866" width="14.5703125" style="4" bestFit="1" customWidth="1"/>
    <col min="15867" max="15867" width="34.85546875" style="4" customWidth="1"/>
    <col min="15868" max="15868" width="9.85546875" style="4" customWidth="1"/>
    <col min="15869" max="15870" width="17" style="4" customWidth="1"/>
    <col min="15871" max="15871" width="17.42578125" style="4" customWidth="1"/>
    <col min="15872" max="15877" width="9.140625" style="4"/>
    <col min="15878" max="15879" width="11.7109375" style="4" customWidth="1"/>
    <col min="15880" max="15880" width="13" style="4" customWidth="1"/>
    <col min="15881" max="15881" width="15.5703125" style="4" customWidth="1"/>
    <col min="15882" max="15882" width="9.140625" style="4"/>
    <col min="15883" max="15883" width="11.7109375" style="4" customWidth="1"/>
    <col min="15884" max="15884" width="12.28515625" style="4" customWidth="1"/>
    <col min="15885" max="15885" width="24.140625" style="4" customWidth="1"/>
    <col min="15886" max="15886" width="20.85546875" style="4" customWidth="1"/>
    <col min="15887" max="16121" width="9.140625" style="4"/>
    <col min="16122" max="16122" width="14.5703125" style="4" bestFit="1" customWidth="1"/>
    <col min="16123" max="16123" width="34.85546875" style="4" customWidth="1"/>
    <col min="16124" max="16124" width="9.85546875" style="4" customWidth="1"/>
    <col min="16125" max="16126" width="17" style="4" customWidth="1"/>
    <col min="16127" max="16127" width="17.42578125" style="4" customWidth="1"/>
    <col min="16128" max="16133" width="9.140625" style="4"/>
    <col min="16134" max="16135" width="11.7109375" style="4" customWidth="1"/>
    <col min="16136" max="16136" width="13" style="4" customWidth="1"/>
    <col min="16137" max="16137" width="15.5703125" style="4" customWidth="1"/>
    <col min="16138" max="16138" width="9.140625" style="4"/>
    <col min="16139" max="16139" width="11.7109375" style="4" customWidth="1"/>
    <col min="16140" max="16140" width="12.28515625" style="4" customWidth="1"/>
    <col min="16141" max="16141" width="24.140625" style="4" customWidth="1"/>
    <col min="16142" max="16142" width="20.85546875" style="4" customWidth="1"/>
    <col min="16143" max="16384" width="9.140625" style="4"/>
  </cols>
  <sheetData>
    <row r="1" spans="1:14" s="1" customFormat="1" ht="25.5" hidden="1">
      <c r="A1" s="6" t="s">
        <v>34</v>
      </c>
      <c r="B1" s="6"/>
      <c r="C1" s="7"/>
      <c r="D1" s="7"/>
      <c r="E1" s="8"/>
      <c r="F1" s="3"/>
      <c r="G1" s="2"/>
      <c r="H1" s="2"/>
      <c r="I1" s="2"/>
      <c r="J1" s="2"/>
      <c r="K1" s="2"/>
      <c r="L1" s="6"/>
      <c r="M1" s="6"/>
      <c r="N1" s="7"/>
    </row>
    <row r="2" spans="1:14" s="1" customFormat="1" ht="25.5" hidden="1">
      <c r="A2" s="6" t="s">
        <v>33</v>
      </c>
      <c r="B2" s="6"/>
      <c r="C2" s="7"/>
      <c r="D2" s="7"/>
      <c r="E2" s="8"/>
      <c r="F2" s="3"/>
      <c r="G2" s="2"/>
      <c r="H2" s="2"/>
      <c r="I2" s="2"/>
      <c r="J2" s="2"/>
      <c r="K2" s="2"/>
      <c r="L2" s="6"/>
      <c r="M2" s="6"/>
      <c r="N2" s="7"/>
    </row>
    <row r="3" spans="1:14" s="1" customFormat="1" ht="25.5" hidden="1">
      <c r="A3" s="6" t="s">
        <v>31</v>
      </c>
      <c r="B3" s="6"/>
      <c r="C3" s="7"/>
      <c r="D3" s="7"/>
      <c r="E3" s="8"/>
      <c r="F3" s="3"/>
      <c r="G3" s="2"/>
      <c r="H3" s="2"/>
      <c r="I3" s="2"/>
      <c r="J3" s="2"/>
      <c r="K3" s="2"/>
      <c r="L3" s="6"/>
      <c r="M3" s="6"/>
      <c r="N3" s="7"/>
    </row>
    <row r="4" spans="1:14" s="1" customFormat="1" ht="25.5" hidden="1">
      <c r="A4" s="6" t="s">
        <v>32</v>
      </c>
      <c r="B4" s="6"/>
      <c r="C4" s="7"/>
      <c r="D4" s="7"/>
      <c r="E4" s="8"/>
      <c r="F4" s="3"/>
      <c r="G4" s="2"/>
      <c r="H4" s="2"/>
      <c r="I4" s="2"/>
      <c r="J4" s="2"/>
      <c r="K4" s="2"/>
      <c r="L4" s="6"/>
      <c r="M4" s="6"/>
      <c r="N4" s="7"/>
    </row>
    <row r="5" spans="1:14" s="1" customFormat="1" ht="25.5" hidden="1">
      <c r="A5" s="6"/>
      <c r="B5" s="6"/>
      <c r="C5" s="7"/>
      <c r="D5" s="7"/>
      <c r="E5" s="8"/>
      <c r="F5" s="3"/>
      <c r="G5" s="2"/>
      <c r="H5" s="2"/>
      <c r="I5" s="2"/>
      <c r="J5" s="2"/>
      <c r="K5" s="2"/>
      <c r="L5" s="6"/>
      <c r="M5" s="6"/>
      <c r="N5" s="7"/>
    </row>
    <row r="6" spans="1:14" s="1" customFormat="1" ht="25.5" hidden="1">
      <c r="A6" s="6"/>
      <c r="B6" s="6"/>
      <c r="C6" s="7"/>
      <c r="D6" s="7"/>
      <c r="E6" s="8"/>
      <c r="F6" s="3"/>
      <c r="G6" s="2"/>
      <c r="H6" s="2"/>
      <c r="I6" s="2"/>
      <c r="J6" s="2"/>
      <c r="K6" s="2"/>
      <c r="L6" s="6"/>
      <c r="M6" s="6"/>
      <c r="N6" s="7"/>
    </row>
    <row r="7" spans="1:14" s="1" customFormat="1" ht="25.5" hidden="1">
      <c r="A7" s="11"/>
      <c r="B7" s="11"/>
      <c r="C7" s="12"/>
      <c r="D7" s="7"/>
      <c r="E7" s="8"/>
      <c r="F7" s="3"/>
      <c r="G7" s="2"/>
      <c r="H7" s="2"/>
      <c r="I7" s="2"/>
      <c r="J7" s="2"/>
      <c r="K7" s="2"/>
      <c r="L7" s="11"/>
      <c r="M7" s="11"/>
      <c r="N7" s="12"/>
    </row>
    <row r="8" spans="1:14" s="1" customFormat="1" ht="25.5" hidden="1">
      <c r="A8" s="6"/>
      <c r="B8" s="6"/>
      <c r="C8" s="7"/>
      <c r="D8" s="7"/>
      <c r="E8" s="8"/>
      <c r="F8" s="3"/>
      <c r="G8" s="2"/>
      <c r="H8" s="2"/>
      <c r="I8" s="2"/>
      <c r="J8" s="2"/>
      <c r="K8" s="2"/>
      <c r="L8" s="6"/>
      <c r="M8" s="6"/>
      <c r="N8" s="7"/>
    </row>
    <row r="9" spans="1:14" s="1" customFormat="1" ht="25.5" hidden="1">
      <c r="A9" s="9" t="s">
        <v>30</v>
      </c>
      <c r="B9" s="6"/>
      <c r="C9" s="7"/>
      <c r="D9" s="7"/>
      <c r="E9" s="8"/>
      <c r="F9" s="3"/>
      <c r="G9" s="2"/>
      <c r="H9" s="2"/>
      <c r="I9" s="2"/>
      <c r="J9" s="2"/>
      <c r="K9" s="2"/>
      <c r="L9" s="6"/>
      <c r="M9" s="6"/>
      <c r="N9" s="7"/>
    </row>
    <row r="10" spans="1:14" s="1" customFormat="1" ht="23.25" hidden="1">
      <c r="A10" s="2"/>
      <c r="B10" s="2"/>
      <c r="C10" s="2"/>
      <c r="D10" s="2"/>
      <c r="E10" s="2"/>
      <c r="F10" s="3"/>
      <c r="G10" s="2"/>
      <c r="H10" s="2"/>
      <c r="I10" s="2"/>
      <c r="J10" s="2"/>
      <c r="K10" s="2"/>
      <c r="L10" s="5"/>
      <c r="M10" s="5"/>
      <c r="N10" s="5"/>
    </row>
    <row r="11" spans="1:14" s="1" customFormat="1" ht="23.25" hidden="1">
      <c r="A11" s="2"/>
      <c r="B11" s="2"/>
      <c r="C11" s="2"/>
      <c r="D11" s="2"/>
      <c r="E11" s="2"/>
      <c r="F11" s="3"/>
      <c r="G11" s="2"/>
      <c r="H11" s="2"/>
      <c r="I11" s="2"/>
      <c r="J11" s="2"/>
      <c r="K11" s="2"/>
      <c r="L11" s="5"/>
      <c r="M11" s="5"/>
      <c r="N11" s="5"/>
    </row>
    <row r="12" spans="1:14" s="1" customFormat="1" ht="23.25" hidden="1">
      <c r="A12" s="2"/>
      <c r="B12" s="2"/>
      <c r="C12" s="2"/>
      <c r="D12" s="2"/>
      <c r="E12" s="2"/>
      <c r="F12" s="3"/>
      <c r="G12" s="2"/>
      <c r="H12" s="2"/>
      <c r="I12" s="2"/>
      <c r="J12" s="2"/>
      <c r="K12" s="2"/>
      <c r="L12" s="5"/>
      <c r="M12" s="5"/>
      <c r="N12" s="5"/>
    </row>
    <row r="13" spans="1:14" s="1" customFormat="1" ht="23.25" hidden="1">
      <c r="A13" s="2"/>
      <c r="B13" s="2"/>
      <c r="C13" s="2"/>
      <c r="D13" s="2"/>
      <c r="E13" s="2"/>
      <c r="F13" s="3"/>
      <c r="G13" s="2"/>
      <c r="H13" s="2"/>
      <c r="I13" s="2"/>
      <c r="J13" s="2"/>
      <c r="K13" s="2"/>
      <c r="L13" s="2"/>
      <c r="M13" s="2"/>
      <c r="N13" s="2"/>
    </row>
    <row r="14" spans="1:14" s="1" customFormat="1" ht="95.25" customHeight="1">
      <c r="A14" s="71" t="s">
        <v>65</v>
      </c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</row>
    <row r="15" spans="1:14" s="1" customFormat="1" ht="23.25">
      <c r="A15" s="2"/>
      <c r="B15" s="2"/>
      <c r="C15" s="2"/>
      <c r="D15" s="62"/>
      <c r="E15" s="2"/>
      <c r="F15" s="3"/>
      <c r="G15" s="2"/>
      <c r="H15" s="2"/>
      <c r="I15" s="2"/>
      <c r="J15" s="2"/>
      <c r="K15" s="2"/>
      <c r="L15" s="2"/>
      <c r="M15" s="2"/>
      <c r="N15" s="2"/>
    </row>
    <row r="16" spans="1:14" s="1" customFormat="1" ht="50.25" customHeight="1">
      <c r="A16" s="70" t="s">
        <v>3</v>
      </c>
      <c r="B16" s="70" t="s">
        <v>35</v>
      </c>
      <c r="C16" s="72" t="s">
        <v>4</v>
      </c>
      <c r="D16" s="73" t="s">
        <v>61</v>
      </c>
      <c r="E16" s="70" t="s">
        <v>0</v>
      </c>
      <c r="F16" s="74" t="s">
        <v>1</v>
      </c>
      <c r="G16" s="70" t="s">
        <v>9</v>
      </c>
      <c r="H16" s="70"/>
      <c r="I16" s="70" t="s">
        <v>10</v>
      </c>
      <c r="J16" s="65" t="s">
        <v>67</v>
      </c>
      <c r="K16" s="70" t="s">
        <v>66</v>
      </c>
      <c r="L16" s="70" t="s">
        <v>56</v>
      </c>
      <c r="M16" s="70"/>
      <c r="N16" s="70"/>
    </row>
    <row r="17" spans="1:14" s="1" customFormat="1" ht="47.25">
      <c r="A17" s="70"/>
      <c r="B17" s="70"/>
      <c r="C17" s="72"/>
      <c r="D17" s="73"/>
      <c r="E17" s="70"/>
      <c r="F17" s="74"/>
      <c r="G17" s="63" t="s">
        <v>5</v>
      </c>
      <c r="H17" s="63" t="s">
        <v>2</v>
      </c>
      <c r="I17" s="70"/>
      <c r="J17" s="64" t="s">
        <v>62</v>
      </c>
      <c r="K17" s="70"/>
      <c r="L17" s="63" t="s">
        <v>6</v>
      </c>
      <c r="M17" s="63" t="s">
        <v>7</v>
      </c>
      <c r="N17" s="63" t="s">
        <v>8</v>
      </c>
    </row>
    <row r="18" spans="1:14" s="1" customFormat="1" ht="18" customHeight="1">
      <c r="A18" s="63">
        <v>1</v>
      </c>
      <c r="B18" s="63">
        <v>2</v>
      </c>
      <c r="C18" s="65">
        <v>3</v>
      </c>
      <c r="D18" s="65">
        <v>4</v>
      </c>
      <c r="E18" s="65">
        <v>5</v>
      </c>
      <c r="F18" s="65">
        <v>6</v>
      </c>
      <c r="G18" s="65">
        <v>7</v>
      </c>
      <c r="H18" s="65">
        <v>8</v>
      </c>
      <c r="I18" s="65">
        <v>9</v>
      </c>
      <c r="J18" s="65">
        <v>10</v>
      </c>
      <c r="K18" s="65">
        <v>11</v>
      </c>
      <c r="L18" s="65">
        <v>12</v>
      </c>
      <c r="M18" s="65">
        <v>13</v>
      </c>
      <c r="N18" s="65">
        <v>14</v>
      </c>
    </row>
    <row r="19" spans="1:14" s="1" customFormat="1" ht="18" customHeight="1">
      <c r="A19" s="69" t="s">
        <v>44</v>
      </c>
      <c r="B19" s="69"/>
      <c r="C19" s="69"/>
      <c r="D19" s="69"/>
      <c r="E19" s="69"/>
      <c r="F19" s="69"/>
      <c r="G19" s="69"/>
      <c r="H19" s="69"/>
      <c r="I19" s="69"/>
      <c r="J19" s="69"/>
      <c r="K19" s="69"/>
      <c r="L19" s="69"/>
      <c r="M19" s="69"/>
      <c r="N19" s="69"/>
    </row>
    <row r="20" spans="1:14" s="57" customFormat="1" ht="20.25">
      <c r="A20" s="53">
        <v>1</v>
      </c>
      <c r="B20" s="53">
        <v>1</v>
      </c>
      <c r="C20" s="58"/>
      <c r="D20" s="58">
        <v>44305</v>
      </c>
      <c r="E20" s="53" t="s">
        <v>11</v>
      </c>
      <c r="F20" s="53">
        <v>2</v>
      </c>
      <c r="G20" s="53">
        <v>8947</v>
      </c>
      <c r="H20" s="53">
        <v>2</v>
      </c>
      <c r="I20" s="53" t="s">
        <v>14</v>
      </c>
      <c r="J20" s="55">
        <v>8.11</v>
      </c>
      <c r="K20" s="55">
        <v>8.07</v>
      </c>
      <c r="L20" s="54">
        <v>1</v>
      </c>
      <c r="M20" s="54"/>
      <c r="N20" s="56"/>
    </row>
    <row r="21" spans="1:14" s="57" customFormat="1" ht="20.25">
      <c r="A21" s="53">
        <v>2</v>
      </c>
      <c r="B21" s="53">
        <v>1</v>
      </c>
      <c r="C21" s="58"/>
      <c r="D21" s="58">
        <v>44305</v>
      </c>
      <c r="E21" s="53" t="s">
        <v>11</v>
      </c>
      <c r="F21" s="53">
        <v>2</v>
      </c>
      <c r="G21" s="53">
        <v>8947</v>
      </c>
      <c r="H21" s="53">
        <v>5</v>
      </c>
      <c r="I21" s="53" t="s">
        <v>12</v>
      </c>
      <c r="J21" s="55">
        <v>8.2799999999999994</v>
      </c>
      <c r="K21" s="55">
        <v>8.24</v>
      </c>
      <c r="L21" s="54">
        <v>1</v>
      </c>
      <c r="M21" s="54"/>
      <c r="N21" s="56"/>
    </row>
    <row r="22" spans="1:14" s="10" customFormat="1" ht="20.25">
      <c r="A22" s="53">
        <v>3</v>
      </c>
      <c r="B22" s="53">
        <v>1</v>
      </c>
      <c r="C22" s="58"/>
      <c r="D22" s="58">
        <v>44306</v>
      </c>
      <c r="E22" s="53" t="s">
        <v>11</v>
      </c>
      <c r="F22" s="53">
        <v>2</v>
      </c>
      <c r="G22" s="53">
        <v>8948</v>
      </c>
      <c r="H22" s="53">
        <v>8</v>
      </c>
      <c r="I22" s="53" t="s">
        <v>12</v>
      </c>
      <c r="J22" s="55">
        <v>9.84</v>
      </c>
      <c r="K22" s="55">
        <v>9.8000000000000007</v>
      </c>
      <c r="L22" s="54">
        <v>1</v>
      </c>
      <c r="M22" s="54" t="s">
        <v>13</v>
      </c>
      <c r="N22" s="56"/>
    </row>
    <row r="23" spans="1:14" s="57" customFormat="1" ht="20.25">
      <c r="A23" s="53">
        <v>4</v>
      </c>
      <c r="B23" s="53">
        <v>1</v>
      </c>
      <c r="C23" s="58"/>
      <c r="D23" s="58">
        <v>44306</v>
      </c>
      <c r="E23" s="53" t="s">
        <v>11</v>
      </c>
      <c r="F23" s="53">
        <v>2</v>
      </c>
      <c r="G23" s="53">
        <v>8949</v>
      </c>
      <c r="H23" s="53">
        <v>4</v>
      </c>
      <c r="I23" s="53" t="s">
        <v>12</v>
      </c>
      <c r="J23" s="55">
        <v>8.1199999999999992</v>
      </c>
      <c r="K23" s="55">
        <v>8.08</v>
      </c>
      <c r="L23" s="54">
        <v>1</v>
      </c>
      <c r="M23" s="54"/>
      <c r="N23" s="56"/>
    </row>
    <row r="24" spans="1:14" s="10" customFormat="1" ht="20.25">
      <c r="A24" s="53">
        <v>5</v>
      </c>
      <c r="B24" s="53">
        <v>1</v>
      </c>
      <c r="C24" s="58"/>
      <c r="D24" s="58">
        <v>44307</v>
      </c>
      <c r="E24" s="53" t="s">
        <v>11</v>
      </c>
      <c r="F24" s="53">
        <v>2</v>
      </c>
      <c r="G24" s="53">
        <v>8949</v>
      </c>
      <c r="H24" s="53">
        <v>6</v>
      </c>
      <c r="I24" s="53" t="s">
        <v>14</v>
      </c>
      <c r="J24" s="55">
        <v>8.24</v>
      </c>
      <c r="K24" s="55">
        <v>8.1999999999999993</v>
      </c>
      <c r="L24" s="54">
        <v>1</v>
      </c>
      <c r="M24" s="54"/>
      <c r="N24" s="56"/>
    </row>
    <row r="25" spans="1:14" s="10" customFormat="1" ht="20.25">
      <c r="A25" s="53">
        <v>6</v>
      </c>
      <c r="B25" s="53">
        <v>1</v>
      </c>
      <c r="C25" s="58"/>
      <c r="D25" s="58">
        <v>44307</v>
      </c>
      <c r="E25" s="53" t="s">
        <v>11</v>
      </c>
      <c r="F25" s="53">
        <v>2</v>
      </c>
      <c r="G25" s="53">
        <v>8949</v>
      </c>
      <c r="H25" s="53">
        <v>7</v>
      </c>
      <c r="I25" s="53" t="s">
        <v>14</v>
      </c>
      <c r="J25" s="55">
        <v>8.1999999999999993</v>
      </c>
      <c r="K25" s="55">
        <v>8.16</v>
      </c>
      <c r="L25" s="54">
        <v>1</v>
      </c>
      <c r="M25" s="54"/>
      <c r="N25" s="56"/>
    </row>
    <row r="26" spans="1:14" s="10" customFormat="1" ht="20.25">
      <c r="A26" s="53">
        <v>7</v>
      </c>
      <c r="B26" s="53">
        <v>1</v>
      </c>
      <c r="C26" s="58"/>
      <c r="D26" s="58">
        <v>44307</v>
      </c>
      <c r="E26" s="53" t="s">
        <v>11</v>
      </c>
      <c r="F26" s="53">
        <v>2</v>
      </c>
      <c r="G26" s="53">
        <v>8951</v>
      </c>
      <c r="H26" s="53">
        <v>1</v>
      </c>
      <c r="I26" s="53" t="s">
        <v>12</v>
      </c>
      <c r="J26" s="55">
        <v>8.16</v>
      </c>
      <c r="K26" s="55">
        <v>8.1199999999999992</v>
      </c>
      <c r="L26" s="54">
        <v>1</v>
      </c>
      <c r="M26" s="54"/>
      <c r="N26" s="56"/>
    </row>
    <row r="27" spans="1:14" s="52" customFormat="1" ht="20.25">
      <c r="A27" s="53">
        <v>9</v>
      </c>
      <c r="B27" s="53">
        <v>1</v>
      </c>
      <c r="C27" s="58"/>
      <c r="D27" s="58">
        <v>44286</v>
      </c>
      <c r="E27" s="53" t="s">
        <v>11</v>
      </c>
      <c r="F27" s="53">
        <v>2</v>
      </c>
      <c r="G27" s="53">
        <v>8952</v>
      </c>
      <c r="H27" s="53">
        <v>2</v>
      </c>
      <c r="I27" s="53" t="s">
        <v>14</v>
      </c>
      <c r="J27" s="55">
        <v>8.26</v>
      </c>
      <c r="K27" s="55">
        <v>8.2200000000000006</v>
      </c>
      <c r="L27" s="54">
        <v>1</v>
      </c>
      <c r="M27" s="54" t="s">
        <v>13</v>
      </c>
      <c r="N27" s="56"/>
    </row>
    <row r="28" spans="1:14" s="57" customFormat="1" ht="20.25">
      <c r="A28" s="53">
        <v>10</v>
      </c>
      <c r="B28" s="53">
        <v>1</v>
      </c>
      <c r="C28" s="58"/>
      <c r="D28" s="58">
        <v>44286</v>
      </c>
      <c r="E28" s="53" t="s">
        <v>11</v>
      </c>
      <c r="F28" s="53">
        <v>2</v>
      </c>
      <c r="G28" s="53">
        <v>8952</v>
      </c>
      <c r="H28" s="53">
        <v>2</v>
      </c>
      <c r="I28" s="53" t="s">
        <v>12</v>
      </c>
      <c r="J28" s="55">
        <v>8.18</v>
      </c>
      <c r="K28" s="55">
        <v>8.14</v>
      </c>
      <c r="L28" s="54">
        <v>1</v>
      </c>
      <c r="M28" s="54"/>
      <c r="N28" s="56"/>
    </row>
    <row r="29" spans="1:14" s="10" customFormat="1" ht="20.25">
      <c r="A29" s="53">
        <v>11</v>
      </c>
      <c r="B29" s="53">
        <v>1</v>
      </c>
      <c r="C29" s="58"/>
      <c r="D29" s="58">
        <v>44299</v>
      </c>
      <c r="E29" s="53" t="s">
        <v>15</v>
      </c>
      <c r="F29" s="53">
        <v>1</v>
      </c>
      <c r="G29" s="53">
        <v>8953</v>
      </c>
      <c r="H29" s="53">
        <v>4</v>
      </c>
      <c r="I29" s="53" t="s">
        <v>12</v>
      </c>
      <c r="J29" s="55">
        <v>12.54</v>
      </c>
      <c r="K29" s="55">
        <v>12.5</v>
      </c>
      <c r="L29" s="54" t="s">
        <v>13</v>
      </c>
      <c r="M29" s="54">
        <v>1</v>
      </c>
      <c r="N29" s="56"/>
    </row>
    <row r="30" spans="1:14" s="10" customFormat="1" ht="20.25">
      <c r="A30" s="53">
        <v>12</v>
      </c>
      <c r="B30" s="53">
        <v>1</v>
      </c>
      <c r="C30" s="58"/>
      <c r="D30" s="58">
        <v>44299</v>
      </c>
      <c r="E30" s="53" t="s">
        <v>15</v>
      </c>
      <c r="F30" s="53">
        <v>1</v>
      </c>
      <c r="G30" s="53">
        <v>8953</v>
      </c>
      <c r="H30" s="53">
        <v>4</v>
      </c>
      <c r="I30" s="53" t="s">
        <v>14</v>
      </c>
      <c r="J30" s="55">
        <v>12.54</v>
      </c>
      <c r="K30" s="55">
        <v>12.5</v>
      </c>
      <c r="L30" s="54" t="s">
        <v>13</v>
      </c>
      <c r="M30" s="54">
        <v>1</v>
      </c>
      <c r="N30" s="56"/>
    </row>
    <row r="31" spans="1:14" s="10" customFormat="1" ht="20.25">
      <c r="A31" s="53">
        <v>13</v>
      </c>
      <c r="B31" s="53">
        <v>1</v>
      </c>
      <c r="C31" s="58"/>
      <c r="D31" s="58">
        <v>44287</v>
      </c>
      <c r="E31" s="53" t="s">
        <v>15</v>
      </c>
      <c r="F31" s="53">
        <v>2</v>
      </c>
      <c r="G31" s="53">
        <v>8953</v>
      </c>
      <c r="H31" s="53">
        <v>4</v>
      </c>
      <c r="I31" s="53" t="s">
        <v>14</v>
      </c>
      <c r="J31" s="55">
        <v>13.01</v>
      </c>
      <c r="K31" s="55">
        <v>12.97</v>
      </c>
      <c r="L31" s="54" t="s">
        <v>13</v>
      </c>
      <c r="M31" s="54">
        <v>1</v>
      </c>
      <c r="N31" s="56"/>
    </row>
    <row r="32" spans="1:14" s="10" customFormat="1" ht="20.25">
      <c r="A32" s="53">
        <v>14</v>
      </c>
      <c r="B32" s="53">
        <v>1</v>
      </c>
      <c r="C32" s="58"/>
      <c r="D32" s="58">
        <v>44287</v>
      </c>
      <c r="E32" s="53" t="s">
        <v>15</v>
      </c>
      <c r="F32" s="53">
        <v>2</v>
      </c>
      <c r="G32" s="53">
        <v>8953</v>
      </c>
      <c r="H32" s="53">
        <v>4</v>
      </c>
      <c r="I32" s="53" t="s">
        <v>12</v>
      </c>
      <c r="J32" s="55">
        <v>12.54</v>
      </c>
      <c r="K32" s="55">
        <v>12.5</v>
      </c>
      <c r="L32" s="54"/>
      <c r="M32" s="54">
        <v>1</v>
      </c>
      <c r="N32" s="56"/>
    </row>
    <row r="33" spans="1:14" s="10" customFormat="1" ht="20.25">
      <c r="A33" s="53">
        <v>19</v>
      </c>
      <c r="B33" s="53">
        <v>1</v>
      </c>
      <c r="C33" s="58"/>
      <c r="D33" s="58">
        <v>44301</v>
      </c>
      <c r="E33" s="53" t="s">
        <v>15</v>
      </c>
      <c r="F33" s="53">
        <v>2</v>
      </c>
      <c r="G33" s="53">
        <v>8954</v>
      </c>
      <c r="H33" s="53">
        <v>8</v>
      </c>
      <c r="I33" s="53" t="s">
        <v>14</v>
      </c>
      <c r="J33" s="55">
        <v>12.54</v>
      </c>
      <c r="K33" s="55">
        <v>12.5</v>
      </c>
      <c r="L33" s="54" t="s">
        <v>13</v>
      </c>
      <c r="M33" s="54">
        <v>1</v>
      </c>
      <c r="N33" s="56"/>
    </row>
    <row r="34" spans="1:14" s="10" customFormat="1" ht="20.25">
      <c r="A34" s="53">
        <v>20</v>
      </c>
      <c r="B34" s="53">
        <v>1</v>
      </c>
      <c r="C34" s="58"/>
      <c r="D34" s="58">
        <v>44301</v>
      </c>
      <c r="E34" s="53" t="s">
        <v>15</v>
      </c>
      <c r="F34" s="53">
        <v>2</v>
      </c>
      <c r="G34" s="53">
        <v>8954</v>
      </c>
      <c r="H34" s="53">
        <v>8</v>
      </c>
      <c r="I34" s="53" t="s">
        <v>12</v>
      </c>
      <c r="J34" s="55">
        <v>12.56</v>
      </c>
      <c r="K34" s="55">
        <v>12.5</v>
      </c>
      <c r="L34" s="54" t="s">
        <v>13</v>
      </c>
      <c r="M34" s="54">
        <v>1</v>
      </c>
      <c r="N34" s="56"/>
    </row>
    <row r="35" spans="1:14" s="10" customFormat="1" ht="20.25">
      <c r="A35" s="53">
        <v>21</v>
      </c>
      <c r="B35" s="53">
        <v>1</v>
      </c>
      <c r="C35" s="58"/>
      <c r="D35" s="58">
        <v>44301</v>
      </c>
      <c r="E35" s="53" t="s">
        <v>15</v>
      </c>
      <c r="F35" s="53">
        <v>2</v>
      </c>
      <c r="G35" s="53">
        <v>8954</v>
      </c>
      <c r="H35" s="53">
        <v>9</v>
      </c>
      <c r="I35" s="53" t="s">
        <v>12</v>
      </c>
      <c r="J35" s="55">
        <v>12.54</v>
      </c>
      <c r="K35" s="55">
        <v>12.5</v>
      </c>
      <c r="L35" s="54"/>
      <c r="M35" s="54">
        <v>1</v>
      </c>
      <c r="N35" s="56"/>
    </row>
    <row r="36" spans="1:14" s="10" customFormat="1" ht="20.25">
      <c r="A36" s="53">
        <v>22</v>
      </c>
      <c r="B36" s="53">
        <v>1</v>
      </c>
      <c r="C36" s="58"/>
      <c r="D36" s="58">
        <v>44301</v>
      </c>
      <c r="E36" s="53" t="s">
        <v>15</v>
      </c>
      <c r="F36" s="53">
        <v>2</v>
      </c>
      <c r="G36" s="53">
        <v>8954</v>
      </c>
      <c r="H36" s="53">
        <v>10</v>
      </c>
      <c r="I36" s="53" t="s">
        <v>14</v>
      </c>
      <c r="J36" s="55">
        <v>12.54</v>
      </c>
      <c r="K36" s="55">
        <v>12.5</v>
      </c>
      <c r="L36" s="54" t="s">
        <v>13</v>
      </c>
      <c r="M36" s="54">
        <v>1</v>
      </c>
      <c r="N36" s="56"/>
    </row>
    <row r="37" spans="1:14" s="57" customFormat="1" ht="20.25">
      <c r="A37" s="53">
        <v>23</v>
      </c>
      <c r="B37" s="53">
        <v>1</v>
      </c>
      <c r="C37" s="58"/>
      <c r="D37" s="58">
        <v>44301</v>
      </c>
      <c r="E37" s="53" t="s">
        <v>15</v>
      </c>
      <c r="F37" s="53">
        <v>2</v>
      </c>
      <c r="G37" s="53">
        <v>8954</v>
      </c>
      <c r="H37" s="53">
        <v>10</v>
      </c>
      <c r="I37" s="53" t="s">
        <v>12</v>
      </c>
      <c r="J37" s="55">
        <v>12.54</v>
      </c>
      <c r="K37" s="55">
        <v>12.5</v>
      </c>
      <c r="L37" s="54" t="s">
        <v>13</v>
      </c>
      <c r="M37" s="54">
        <v>1</v>
      </c>
      <c r="N37" s="56"/>
    </row>
    <row r="38" spans="1:14" s="1" customFormat="1" ht="18" customHeight="1">
      <c r="A38" s="69" t="s">
        <v>45</v>
      </c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</row>
    <row r="39" spans="1:14" s="57" customFormat="1" ht="20.25">
      <c r="A39" s="53">
        <v>28</v>
      </c>
      <c r="B39" s="53">
        <v>2</v>
      </c>
      <c r="C39" s="58"/>
      <c r="D39" s="58">
        <v>44285</v>
      </c>
      <c r="E39" s="53" t="s">
        <v>16</v>
      </c>
      <c r="F39" s="53">
        <v>1</v>
      </c>
      <c r="G39" s="53">
        <v>8966</v>
      </c>
      <c r="H39" s="53">
        <v>10</v>
      </c>
      <c r="I39" s="53" t="s">
        <v>12</v>
      </c>
      <c r="J39" s="55">
        <v>8.39</v>
      </c>
      <c r="K39" s="55">
        <v>8.34</v>
      </c>
      <c r="L39" s="54">
        <v>1</v>
      </c>
      <c r="M39" s="54"/>
      <c r="N39" s="56"/>
    </row>
    <row r="40" spans="1:14" s="57" customFormat="1" ht="20.25">
      <c r="A40" s="53">
        <v>29</v>
      </c>
      <c r="B40" s="53">
        <v>2</v>
      </c>
      <c r="C40" s="58"/>
      <c r="D40" s="58">
        <v>44316</v>
      </c>
      <c r="E40" s="53" t="s">
        <v>16</v>
      </c>
      <c r="F40" s="53">
        <v>1</v>
      </c>
      <c r="G40" s="53">
        <v>8968</v>
      </c>
      <c r="H40" s="53">
        <v>2</v>
      </c>
      <c r="I40" s="53" t="s">
        <v>59</v>
      </c>
      <c r="J40" s="55">
        <v>8.3000000000000007</v>
      </c>
      <c r="K40" s="55">
        <v>8.26</v>
      </c>
      <c r="L40" s="54">
        <v>1</v>
      </c>
      <c r="M40" s="54"/>
      <c r="N40" s="56"/>
    </row>
    <row r="41" spans="1:14" s="57" customFormat="1" ht="20.25">
      <c r="A41" s="53">
        <v>30</v>
      </c>
      <c r="B41" s="53">
        <v>2</v>
      </c>
      <c r="C41" s="58"/>
      <c r="D41" s="58">
        <v>44316</v>
      </c>
      <c r="E41" s="53" t="s">
        <v>16</v>
      </c>
      <c r="F41" s="53">
        <v>1</v>
      </c>
      <c r="G41" s="53">
        <v>8969</v>
      </c>
      <c r="H41" s="53">
        <v>7</v>
      </c>
      <c r="I41" s="53" t="s">
        <v>12</v>
      </c>
      <c r="J41" s="55">
        <v>8.15</v>
      </c>
      <c r="K41" s="55">
        <v>8.1300000000000008</v>
      </c>
      <c r="L41" s="54">
        <v>1</v>
      </c>
      <c r="M41" s="54"/>
      <c r="N41" s="56"/>
    </row>
    <row r="42" spans="1:14" s="57" customFormat="1" ht="20.25">
      <c r="A42" s="53">
        <v>31</v>
      </c>
      <c r="B42" s="53">
        <v>2</v>
      </c>
      <c r="C42" s="58"/>
      <c r="D42" s="58">
        <v>44316</v>
      </c>
      <c r="E42" s="53" t="s">
        <v>16</v>
      </c>
      <c r="F42" s="53">
        <v>1</v>
      </c>
      <c r="G42" s="53">
        <v>8971</v>
      </c>
      <c r="H42" s="53">
        <v>7</v>
      </c>
      <c r="I42" s="53" t="s">
        <v>12</v>
      </c>
      <c r="J42" s="55">
        <v>9.5</v>
      </c>
      <c r="K42" s="55">
        <v>9.4700000000000006</v>
      </c>
      <c r="L42" s="54">
        <v>1</v>
      </c>
      <c r="M42" s="54"/>
      <c r="N42" s="56"/>
    </row>
    <row r="43" spans="1:14" s="57" customFormat="1" ht="20.25">
      <c r="A43" s="53">
        <v>32</v>
      </c>
      <c r="B43" s="53">
        <v>2</v>
      </c>
      <c r="C43" s="58"/>
      <c r="D43" s="58">
        <v>44316</v>
      </c>
      <c r="E43" s="53" t="s">
        <v>16</v>
      </c>
      <c r="F43" s="53">
        <v>1</v>
      </c>
      <c r="G43" s="53">
        <v>8972</v>
      </c>
      <c r="H43" s="53">
        <v>6</v>
      </c>
      <c r="I43" s="53" t="s">
        <v>12</v>
      </c>
      <c r="J43" s="55">
        <v>8.1300000000000008</v>
      </c>
      <c r="K43" s="55">
        <v>8.1</v>
      </c>
      <c r="L43" s="54">
        <v>1</v>
      </c>
      <c r="M43" s="54"/>
      <c r="N43" s="56"/>
    </row>
    <row r="44" spans="1:14" s="57" customFormat="1" ht="20.25">
      <c r="A44" s="53">
        <v>35</v>
      </c>
      <c r="B44" s="53">
        <v>2</v>
      </c>
      <c r="C44" s="58"/>
      <c r="D44" s="58">
        <v>44306</v>
      </c>
      <c r="E44" s="53" t="s">
        <v>17</v>
      </c>
      <c r="F44" s="53">
        <v>2</v>
      </c>
      <c r="G44" s="53">
        <v>8974</v>
      </c>
      <c r="H44" s="53">
        <v>8</v>
      </c>
      <c r="I44" s="53" t="s">
        <v>14</v>
      </c>
      <c r="J44" s="55">
        <v>12.53</v>
      </c>
      <c r="K44" s="55">
        <v>12.49</v>
      </c>
      <c r="L44" s="54"/>
      <c r="M44" s="54">
        <v>1</v>
      </c>
      <c r="N44" s="56"/>
    </row>
    <row r="45" spans="1:14" s="57" customFormat="1" ht="20.25">
      <c r="A45" s="53">
        <v>36</v>
      </c>
      <c r="B45" s="53">
        <v>2</v>
      </c>
      <c r="C45" s="58"/>
      <c r="D45" s="58">
        <v>44306</v>
      </c>
      <c r="E45" s="53" t="s">
        <v>17</v>
      </c>
      <c r="F45" s="53">
        <v>2</v>
      </c>
      <c r="G45" s="53">
        <v>8974</v>
      </c>
      <c r="H45" s="53">
        <v>8</v>
      </c>
      <c r="I45" s="53" t="s">
        <v>12</v>
      </c>
      <c r="J45" s="55">
        <v>12.54</v>
      </c>
      <c r="K45" s="55">
        <v>12.5</v>
      </c>
      <c r="L45" s="54" t="s">
        <v>13</v>
      </c>
      <c r="M45" s="54">
        <v>1</v>
      </c>
      <c r="N45" s="56"/>
    </row>
    <row r="46" spans="1:14" s="57" customFormat="1" ht="20.25">
      <c r="A46" s="53">
        <v>37</v>
      </c>
      <c r="B46" s="53">
        <v>2</v>
      </c>
      <c r="C46" s="58"/>
      <c r="D46" s="58">
        <v>44306</v>
      </c>
      <c r="E46" s="53" t="s">
        <v>17</v>
      </c>
      <c r="F46" s="53">
        <v>2</v>
      </c>
      <c r="G46" s="53">
        <v>8974</v>
      </c>
      <c r="H46" s="53">
        <v>9</v>
      </c>
      <c r="I46" s="53" t="s">
        <v>14</v>
      </c>
      <c r="J46" s="55">
        <v>8.15</v>
      </c>
      <c r="K46" s="55">
        <v>8.1199999999999992</v>
      </c>
      <c r="L46" s="54"/>
      <c r="M46" s="54">
        <v>1</v>
      </c>
      <c r="N46" s="56"/>
    </row>
    <row r="47" spans="1:14" s="57" customFormat="1" ht="20.25">
      <c r="A47" s="53">
        <v>41</v>
      </c>
      <c r="B47" s="53">
        <v>2</v>
      </c>
      <c r="C47" s="58"/>
      <c r="D47" s="58" t="s">
        <v>64</v>
      </c>
      <c r="E47" s="53" t="s">
        <v>17</v>
      </c>
      <c r="F47" s="53">
        <v>1</v>
      </c>
      <c r="G47" s="53">
        <v>8975</v>
      </c>
      <c r="H47" s="53">
        <v>3</v>
      </c>
      <c r="I47" s="53" t="s">
        <v>14</v>
      </c>
      <c r="J47" s="55">
        <v>12.54</v>
      </c>
      <c r="K47" s="55">
        <v>12.5</v>
      </c>
      <c r="L47" s="54"/>
      <c r="M47" s="54">
        <v>1</v>
      </c>
      <c r="N47" s="56"/>
    </row>
    <row r="48" spans="1:14" s="57" customFormat="1" ht="20.25">
      <c r="A48" s="53">
        <v>43</v>
      </c>
      <c r="B48" s="53">
        <v>2</v>
      </c>
      <c r="C48" s="58"/>
      <c r="D48" s="58">
        <v>44316</v>
      </c>
      <c r="E48" s="53" t="s">
        <v>17</v>
      </c>
      <c r="F48" s="53">
        <v>2</v>
      </c>
      <c r="G48" s="53">
        <v>8977</v>
      </c>
      <c r="H48" s="53">
        <v>1</v>
      </c>
      <c r="I48" s="53" t="s">
        <v>12</v>
      </c>
      <c r="J48" s="55">
        <v>8.18</v>
      </c>
      <c r="K48" s="55">
        <v>8.15</v>
      </c>
      <c r="L48" s="54">
        <v>1</v>
      </c>
      <c r="M48" s="54"/>
      <c r="N48" s="56"/>
    </row>
    <row r="49" spans="1:14" s="10" customFormat="1" ht="20.25">
      <c r="A49" s="53">
        <v>44</v>
      </c>
      <c r="B49" s="53">
        <v>2</v>
      </c>
      <c r="C49" s="58"/>
      <c r="D49" s="58">
        <v>44316</v>
      </c>
      <c r="E49" s="53" t="s">
        <v>17</v>
      </c>
      <c r="F49" s="53">
        <v>2</v>
      </c>
      <c r="G49" s="53">
        <v>8977</v>
      </c>
      <c r="H49" s="53">
        <v>3</v>
      </c>
      <c r="I49" s="53" t="s">
        <v>12</v>
      </c>
      <c r="J49" s="55">
        <v>9.7200000000000006</v>
      </c>
      <c r="K49" s="55">
        <v>9.69</v>
      </c>
      <c r="L49" s="54">
        <v>1</v>
      </c>
      <c r="M49" s="54" t="s">
        <v>13</v>
      </c>
      <c r="N49" s="56"/>
    </row>
    <row r="50" spans="1:14" s="57" customFormat="1" ht="20.25">
      <c r="A50" s="53">
        <v>46</v>
      </c>
      <c r="B50" s="53">
        <v>2</v>
      </c>
      <c r="C50" s="58"/>
      <c r="D50" s="58">
        <v>44316</v>
      </c>
      <c r="E50" s="53" t="s">
        <v>18</v>
      </c>
      <c r="F50" s="53">
        <v>2</v>
      </c>
      <c r="G50" s="53">
        <v>8977</v>
      </c>
      <c r="H50" s="53">
        <v>7</v>
      </c>
      <c r="I50" s="53" t="s">
        <v>12</v>
      </c>
      <c r="J50" s="55">
        <v>8.65</v>
      </c>
      <c r="K50" s="55">
        <v>8.6</v>
      </c>
      <c r="L50" s="54">
        <v>1</v>
      </c>
      <c r="M50" s="54"/>
      <c r="N50" s="56"/>
    </row>
    <row r="51" spans="1:14" s="57" customFormat="1" ht="20.25">
      <c r="A51" s="53">
        <v>47</v>
      </c>
      <c r="B51" s="53">
        <v>2</v>
      </c>
      <c r="C51" s="58"/>
      <c r="D51" s="58">
        <v>44316</v>
      </c>
      <c r="E51" s="53" t="s">
        <v>18</v>
      </c>
      <c r="F51" s="53">
        <v>2</v>
      </c>
      <c r="G51" s="53">
        <v>8977</v>
      </c>
      <c r="H51" s="53">
        <v>7</v>
      </c>
      <c r="I51" s="53" t="s">
        <v>14</v>
      </c>
      <c r="J51" s="55">
        <v>8.34</v>
      </c>
      <c r="K51" s="55">
        <v>8.31</v>
      </c>
      <c r="L51" s="54">
        <v>1</v>
      </c>
      <c r="M51" s="54"/>
      <c r="N51" s="56"/>
    </row>
    <row r="52" spans="1:14" s="57" customFormat="1" ht="20.25">
      <c r="A52" s="53">
        <v>48</v>
      </c>
      <c r="B52" s="53">
        <v>2</v>
      </c>
      <c r="C52" s="58"/>
      <c r="D52" s="58">
        <v>44316</v>
      </c>
      <c r="E52" s="53" t="s">
        <v>18</v>
      </c>
      <c r="F52" s="53">
        <v>2</v>
      </c>
      <c r="G52" s="53">
        <v>8977</v>
      </c>
      <c r="H52" s="53">
        <v>10</v>
      </c>
      <c r="I52" s="53" t="s">
        <v>14</v>
      </c>
      <c r="J52" s="55">
        <v>8.1300000000000008</v>
      </c>
      <c r="K52" s="55">
        <v>8.09</v>
      </c>
      <c r="L52" s="54">
        <v>1</v>
      </c>
      <c r="M52" s="54"/>
      <c r="N52" s="56"/>
    </row>
    <row r="53" spans="1:14" s="10" customFormat="1" ht="20.25">
      <c r="A53" s="53">
        <v>49</v>
      </c>
      <c r="B53" s="53">
        <v>2</v>
      </c>
      <c r="C53" s="58"/>
      <c r="D53" s="58">
        <v>44316</v>
      </c>
      <c r="E53" s="53" t="s">
        <v>18</v>
      </c>
      <c r="F53" s="53">
        <v>2</v>
      </c>
      <c r="G53" s="53">
        <v>8977</v>
      </c>
      <c r="H53" s="53">
        <v>10</v>
      </c>
      <c r="I53" s="53" t="s">
        <v>12</v>
      </c>
      <c r="J53" s="55">
        <v>11.53</v>
      </c>
      <c r="K53" s="55">
        <v>11.48</v>
      </c>
      <c r="L53" s="54">
        <v>1</v>
      </c>
      <c r="M53" s="54"/>
      <c r="N53" s="56"/>
    </row>
    <row r="54" spans="1:14" s="1" customFormat="1" ht="18" customHeight="1">
      <c r="A54" s="69" t="s">
        <v>46</v>
      </c>
      <c r="B54" s="69"/>
      <c r="C54" s="69"/>
      <c r="D54" s="69"/>
      <c r="E54" s="69"/>
      <c r="F54" s="69"/>
      <c r="G54" s="69"/>
      <c r="H54" s="69"/>
      <c r="I54" s="69"/>
      <c r="J54" s="69"/>
      <c r="K54" s="69"/>
      <c r="L54" s="69"/>
      <c r="M54" s="69"/>
      <c r="N54" s="69"/>
    </row>
    <row r="55" spans="1:14" s="10" customFormat="1" ht="20.25">
      <c r="A55" s="53">
        <v>51</v>
      </c>
      <c r="B55" s="53">
        <v>3</v>
      </c>
      <c r="C55" s="58"/>
      <c r="D55" s="58">
        <v>44298</v>
      </c>
      <c r="E55" s="53" t="s">
        <v>18</v>
      </c>
      <c r="F55" s="53">
        <v>2</v>
      </c>
      <c r="G55" s="53">
        <v>8978</v>
      </c>
      <c r="H55" s="53">
        <v>5</v>
      </c>
      <c r="I55" s="53" t="s">
        <v>14</v>
      </c>
      <c r="J55" s="55">
        <v>8.0399999999999991</v>
      </c>
      <c r="K55" s="55">
        <v>8</v>
      </c>
      <c r="L55" s="54">
        <v>1</v>
      </c>
      <c r="M55" s="54"/>
      <c r="N55" s="56"/>
    </row>
    <row r="56" spans="1:14" s="10" customFormat="1" ht="20.25">
      <c r="A56" s="53">
        <v>52</v>
      </c>
      <c r="B56" s="53">
        <v>3</v>
      </c>
      <c r="C56" s="58"/>
      <c r="D56" s="58">
        <v>44298</v>
      </c>
      <c r="E56" s="53" t="s">
        <v>18</v>
      </c>
      <c r="F56" s="53">
        <v>2</v>
      </c>
      <c r="G56" s="53">
        <v>8978</v>
      </c>
      <c r="H56" s="53">
        <v>7</v>
      </c>
      <c r="I56" s="53" t="s">
        <v>14</v>
      </c>
      <c r="J56" s="55">
        <v>9.59</v>
      </c>
      <c r="K56" s="55">
        <v>9.5500000000000007</v>
      </c>
      <c r="L56" s="54">
        <v>1</v>
      </c>
      <c r="M56" s="54"/>
      <c r="N56" s="56"/>
    </row>
    <row r="57" spans="1:14" s="10" customFormat="1" ht="20.25">
      <c r="A57" s="53">
        <v>53</v>
      </c>
      <c r="B57" s="53">
        <v>3</v>
      </c>
      <c r="C57" s="58"/>
      <c r="D57" s="58">
        <v>44298</v>
      </c>
      <c r="E57" s="53" t="s">
        <v>18</v>
      </c>
      <c r="F57" s="53">
        <v>2</v>
      </c>
      <c r="G57" s="53">
        <v>8978</v>
      </c>
      <c r="H57" s="53">
        <v>9</v>
      </c>
      <c r="I57" s="53" t="s">
        <v>12</v>
      </c>
      <c r="J57" s="55">
        <v>8.31</v>
      </c>
      <c r="K57" s="55">
        <v>8.2799999999999994</v>
      </c>
      <c r="L57" s="54">
        <v>1</v>
      </c>
      <c r="M57" s="54"/>
      <c r="N57" s="56"/>
    </row>
    <row r="58" spans="1:14" s="10" customFormat="1" ht="20.25">
      <c r="A58" s="53">
        <v>54</v>
      </c>
      <c r="B58" s="53">
        <v>3</v>
      </c>
      <c r="C58" s="58"/>
      <c r="D58" s="58">
        <v>44298</v>
      </c>
      <c r="E58" s="53" t="s">
        <v>18</v>
      </c>
      <c r="F58" s="53">
        <v>2</v>
      </c>
      <c r="G58" s="53">
        <v>8979</v>
      </c>
      <c r="H58" s="53">
        <v>1</v>
      </c>
      <c r="I58" s="53" t="s">
        <v>14</v>
      </c>
      <c r="J58" s="55">
        <v>8.09</v>
      </c>
      <c r="K58" s="55">
        <v>8.0500000000000007</v>
      </c>
      <c r="L58" s="54">
        <v>1</v>
      </c>
      <c r="M58" s="54" t="s">
        <v>13</v>
      </c>
      <c r="N58" s="56"/>
    </row>
    <row r="59" spans="1:14" s="10" customFormat="1" ht="20.25">
      <c r="A59" s="53">
        <v>55</v>
      </c>
      <c r="B59" s="53">
        <v>3</v>
      </c>
      <c r="C59" s="58"/>
      <c r="D59" s="58">
        <v>44299</v>
      </c>
      <c r="E59" s="53" t="s">
        <v>18</v>
      </c>
      <c r="F59" s="53">
        <v>2</v>
      </c>
      <c r="G59" s="53">
        <v>8979</v>
      </c>
      <c r="H59" s="53">
        <v>4</v>
      </c>
      <c r="I59" s="53" t="s">
        <v>14</v>
      </c>
      <c r="J59" s="55">
        <v>8.08</v>
      </c>
      <c r="K59" s="55">
        <v>8.0399999999999991</v>
      </c>
      <c r="L59" s="54">
        <v>1</v>
      </c>
      <c r="M59" s="54" t="s">
        <v>13</v>
      </c>
      <c r="N59" s="56"/>
    </row>
    <row r="60" spans="1:14" s="10" customFormat="1" ht="20.25">
      <c r="A60" s="53">
        <v>57</v>
      </c>
      <c r="B60" s="53">
        <v>3</v>
      </c>
      <c r="C60" s="58"/>
      <c r="D60" s="58">
        <v>44299</v>
      </c>
      <c r="E60" s="53" t="s">
        <v>18</v>
      </c>
      <c r="F60" s="53">
        <v>2</v>
      </c>
      <c r="G60" s="53">
        <v>8979</v>
      </c>
      <c r="H60" s="53">
        <v>8</v>
      </c>
      <c r="I60" s="53" t="s">
        <v>14</v>
      </c>
      <c r="J60" s="55">
        <v>9.08</v>
      </c>
      <c r="K60" s="55">
        <v>9.0399999999999991</v>
      </c>
      <c r="L60" s="54">
        <v>1</v>
      </c>
      <c r="M60" s="54"/>
      <c r="N60" s="56"/>
    </row>
    <row r="61" spans="1:14" s="52" customFormat="1" ht="20.25">
      <c r="A61" s="53">
        <v>58</v>
      </c>
      <c r="B61" s="53">
        <v>3</v>
      </c>
      <c r="C61" s="58"/>
      <c r="D61" s="58">
        <v>44311</v>
      </c>
      <c r="E61" s="53" t="s">
        <v>18</v>
      </c>
      <c r="F61" s="53">
        <v>2</v>
      </c>
      <c r="G61" s="53">
        <v>8980</v>
      </c>
      <c r="H61" s="53">
        <v>5</v>
      </c>
      <c r="I61" s="53" t="s">
        <v>14</v>
      </c>
      <c r="J61" s="55">
        <v>8.0500000000000007</v>
      </c>
      <c r="K61" s="55">
        <v>8.02</v>
      </c>
      <c r="L61" s="54">
        <v>1</v>
      </c>
      <c r="M61" s="54"/>
      <c r="N61" s="56"/>
    </row>
    <row r="62" spans="1:14" s="10" customFormat="1" ht="20.25">
      <c r="A62" s="53">
        <v>61</v>
      </c>
      <c r="B62" s="53">
        <v>3</v>
      </c>
      <c r="C62" s="58"/>
      <c r="D62" s="58">
        <v>44311</v>
      </c>
      <c r="E62" s="53" t="s">
        <v>18</v>
      </c>
      <c r="F62" s="53">
        <v>2</v>
      </c>
      <c r="G62" s="53">
        <v>8981</v>
      </c>
      <c r="H62" s="53">
        <v>6</v>
      </c>
      <c r="I62" s="53" t="s">
        <v>12</v>
      </c>
      <c r="J62" s="55">
        <v>8.0399999999999991</v>
      </c>
      <c r="K62" s="55">
        <v>8</v>
      </c>
      <c r="L62" s="54">
        <v>1</v>
      </c>
      <c r="M62" s="54" t="s">
        <v>13</v>
      </c>
      <c r="N62" s="56"/>
    </row>
    <row r="63" spans="1:14" s="57" customFormat="1" ht="21.75" customHeight="1">
      <c r="A63" s="53">
        <v>63</v>
      </c>
      <c r="B63" s="53">
        <v>3</v>
      </c>
      <c r="C63" s="58"/>
      <c r="D63" s="58">
        <v>44310</v>
      </c>
      <c r="E63" s="53" t="s">
        <v>18</v>
      </c>
      <c r="F63" s="53">
        <v>2</v>
      </c>
      <c r="G63" s="53">
        <v>8981</v>
      </c>
      <c r="H63" s="53">
        <v>9</v>
      </c>
      <c r="I63" s="53" t="s">
        <v>12</v>
      </c>
      <c r="J63" s="55">
        <v>9.0399999999999991</v>
      </c>
      <c r="K63" s="55">
        <v>9</v>
      </c>
      <c r="L63" s="54">
        <v>1</v>
      </c>
      <c r="M63" s="54"/>
      <c r="N63" s="56"/>
    </row>
    <row r="64" spans="1:14" s="57" customFormat="1" ht="21.75" customHeight="1">
      <c r="A64" s="53">
        <v>64</v>
      </c>
      <c r="B64" s="53">
        <v>3</v>
      </c>
      <c r="C64" s="58"/>
      <c r="D64" s="58">
        <v>44310</v>
      </c>
      <c r="E64" s="53" t="s">
        <v>18</v>
      </c>
      <c r="F64" s="53">
        <v>2</v>
      </c>
      <c r="G64" s="53">
        <v>8981</v>
      </c>
      <c r="H64" s="53">
        <v>10</v>
      </c>
      <c r="I64" s="53" t="s">
        <v>12</v>
      </c>
      <c r="J64" s="55">
        <v>8.3000000000000007</v>
      </c>
      <c r="K64" s="55">
        <v>8.2799999999999994</v>
      </c>
      <c r="L64" s="54">
        <v>1</v>
      </c>
      <c r="M64" s="54"/>
      <c r="N64" s="56"/>
    </row>
    <row r="65" spans="1:14" s="57" customFormat="1" ht="20.25">
      <c r="A65" s="53">
        <v>65</v>
      </c>
      <c r="B65" s="53">
        <v>3</v>
      </c>
      <c r="C65" s="58"/>
      <c r="D65" s="58">
        <v>44311</v>
      </c>
      <c r="E65" s="53" t="s">
        <v>18</v>
      </c>
      <c r="F65" s="53">
        <v>2</v>
      </c>
      <c r="G65" s="53">
        <v>8982</v>
      </c>
      <c r="H65" s="53">
        <v>1</v>
      </c>
      <c r="I65" s="53" t="s">
        <v>12</v>
      </c>
      <c r="J65" s="55">
        <v>8.16</v>
      </c>
      <c r="K65" s="55">
        <v>8.1199999999999992</v>
      </c>
      <c r="L65" s="54">
        <v>1</v>
      </c>
      <c r="M65" s="54" t="s">
        <v>13</v>
      </c>
      <c r="N65" s="56"/>
    </row>
    <row r="66" spans="1:14" s="57" customFormat="1" ht="20.25">
      <c r="A66" s="53">
        <v>66</v>
      </c>
      <c r="B66" s="53">
        <v>3</v>
      </c>
      <c r="C66" s="58"/>
      <c r="D66" s="58">
        <v>44311</v>
      </c>
      <c r="E66" s="53" t="s">
        <v>18</v>
      </c>
      <c r="F66" s="53">
        <v>2</v>
      </c>
      <c r="G66" s="53">
        <v>8982</v>
      </c>
      <c r="H66" s="53">
        <v>8</v>
      </c>
      <c r="I66" s="53" t="s">
        <v>14</v>
      </c>
      <c r="J66" s="55">
        <v>8.34</v>
      </c>
      <c r="K66" s="55">
        <v>8.3000000000000007</v>
      </c>
      <c r="L66" s="54">
        <v>1</v>
      </c>
      <c r="M66" s="54" t="s">
        <v>13</v>
      </c>
      <c r="N66" s="56"/>
    </row>
    <row r="67" spans="1:14" s="10" customFormat="1" ht="20.25">
      <c r="A67" s="53">
        <v>68</v>
      </c>
      <c r="B67" s="53">
        <v>3</v>
      </c>
      <c r="C67" s="58"/>
      <c r="D67" s="58">
        <v>44295</v>
      </c>
      <c r="E67" s="53" t="s">
        <v>18</v>
      </c>
      <c r="F67" s="53">
        <v>2</v>
      </c>
      <c r="G67" s="53">
        <v>8983</v>
      </c>
      <c r="H67" s="53">
        <v>1</v>
      </c>
      <c r="I67" s="53" t="s">
        <v>14</v>
      </c>
      <c r="J67" s="55">
        <v>9.2899999999999991</v>
      </c>
      <c r="K67" s="55">
        <v>9.25</v>
      </c>
      <c r="L67" s="54">
        <v>1</v>
      </c>
      <c r="M67" s="54" t="s">
        <v>13</v>
      </c>
      <c r="N67" s="56"/>
    </row>
    <row r="68" spans="1:14" s="10" customFormat="1" ht="20.25">
      <c r="A68" s="53">
        <v>70</v>
      </c>
      <c r="B68" s="53">
        <v>3</v>
      </c>
      <c r="C68" s="58"/>
      <c r="D68" s="58">
        <v>44301</v>
      </c>
      <c r="E68" s="53" t="s">
        <v>18</v>
      </c>
      <c r="F68" s="53">
        <v>2</v>
      </c>
      <c r="G68" s="53">
        <v>8983</v>
      </c>
      <c r="H68" s="53">
        <v>6</v>
      </c>
      <c r="I68" s="53" t="s">
        <v>12</v>
      </c>
      <c r="J68" s="55">
        <v>8.1</v>
      </c>
      <c r="K68" s="55">
        <v>8.06</v>
      </c>
      <c r="L68" s="54">
        <v>1</v>
      </c>
      <c r="M68" s="54"/>
      <c r="N68" s="56"/>
    </row>
    <row r="69" spans="1:14" s="57" customFormat="1" ht="20.25">
      <c r="A69" s="53">
        <v>71</v>
      </c>
      <c r="B69" s="53">
        <v>3</v>
      </c>
      <c r="C69" s="58"/>
      <c r="D69" s="58">
        <v>44301</v>
      </c>
      <c r="E69" s="53" t="s">
        <v>18</v>
      </c>
      <c r="F69" s="53">
        <v>2</v>
      </c>
      <c r="G69" s="53">
        <v>8984</v>
      </c>
      <c r="H69" s="53">
        <v>2</v>
      </c>
      <c r="I69" s="53" t="s">
        <v>12</v>
      </c>
      <c r="J69" s="55">
        <v>8.06</v>
      </c>
      <c r="K69" s="55">
        <v>8.02</v>
      </c>
      <c r="L69" s="54">
        <v>1</v>
      </c>
      <c r="M69" s="54"/>
      <c r="N69" s="56"/>
    </row>
    <row r="70" spans="1:14" s="57" customFormat="1" ht="20.25">
      <c r="A70" s="53">
        <v>72</v>
      </c>
      <c r="B70" s="53">
        <v>3</v>
      </c>
      <c r="C70" s="58"/>
      <c r="D70" s="58">
        <v>44309</v>
      </c>
      <c r="E70" s="53" t="s">
        <v>18</v>
      </c>
      <c r="F70" s="53">
        <v>2</v>
      </c>
      <c r="G70" s="53">
        <v>8984</v>
      </c>
      <c r="H70" s="53">
        <v>5</v>
      </c>
      <c r="I70" s="53" t="s">
        <v>12</v>
      </c>
      <c r="J70" s="55">
        <v>8.0399999999999991</v>
      </c>
      <c r="K70" s="55">
        <v>8</v>
      </c>
      <c r="L70" s="54">
        <v>1</v>
      </c>
      <c r="M70" s="54"/>
      <c r="N70" s="56"/>
    </row>
    <row r="71" spans="1:14" s="10" customFormat="1" ht="20.25">
      <c r="A71" s="53">
        <v>73</v>
      </c>
      <c r="B71" s="53">
        <v>3</v>
      </c>
      <c r="C71" s="58"/>
      <c r="D71" s="58">
        <v>44308</v>
      </c>
      <c r="E71" s="53" t="s">
        <v>18</v>
      </c>
      <c r="F71" s="53">
        <v>2</v>
      </c>
      <c r="G71" s="53">
        <v>8985</v>
      </c>
      <c r="H71" s="53">
        <v>3</v>
      </c>
      <c r="I71" s="53" t="s">
        <v>14</v>
      </c>
      <c r="J71" s="55">
        <v>8.06</v>
      </c>
      <c r="K71" s="55">
        <v>8.0299999999999994</v>
      </c>
      <c r="L71" s="54">
        <v>1</v>
      </c>
      <c r="M71" s="54"/>
      <c r="N71" s="56"/>
    </row>
    <row r="72" spans="1:14" s="57" customFormat="1" ht="20.25">
      <c r="A72" s="53">
        <v>74</v>
      </c>
      <c r="B72" s="53">
        <v>3</v>
      </c>
      <c r="C72" s="58"/>
      <c r="D72" s="58" t="s">
        <v>64</v>
      </c>
      <c r="E72" s="53" t="s">
        <v>18</v>
      </c>
      <c r="F72" s="53">
        <v>2</v>
      </c>
      <c r="G72" s="53">
        <v>8985</v>
      </c>
      <c r="H72" s="53">
        <v>7</v>
      </c>
      <c r="I72" s="53" t="s">
        <v>12</v>
      </c>
      <c r="J72" s="55">
        <v>11</v>
      </c>
      <c r="K72" s="55">
        <v>10.96</v>
      </c>
      <c r="L72" s="54">
        <v>1</v>
      </c>
      <c r="M72" s="54"/>
      <c r="N72" s="56"/>
    </row>
    <row r="73" spans="1:14" s="57" customFormat="1" ht="20.25">
      <c r="A73" s="53">
        <v>75</v>
      </c>
      <c r="B73" s="53">
        <v>3</v>
      </c>
      <c r="C73" s="58"/>
      <c r="D73" s="58">
        <v>44308</v>
      </c>
      <c r="E73" s="53" t="s">
        <v>18</v>
      </c>
      <c r="F73" s="53">
        <v>2</v>
      </c>
      <c r="G73" s="53">
        <v>8986</v>
      </c>
      <c r="H73" s="53">
        <v>2</v>
      </c>
      <c r="I73" s="53" t="s">
        <v>12</v>
      </c>
      <c r="J73" s="55">
        <v>8.73</v>
      </c>
      <c r="K73" s="55">
        <v>8.69</v>
      </c>
      <c r="L73" s="54">
        <v>1</v>
      </c>
      <c r="M73" s="54"/>
      <c r="N73" s="56"/>
    </row>
    <row r="74" spans="1:14" s="57" customFormat="1" ht="20.25">
      <c r="A74" s="53">
        <v>77</v>
      </c>
      <c r="B74" s="53">
        <v>3</v>
      </c>
      <c r="C74" s="58"/>
      <c r="D74" s="58">
        <v>44308</v>
      </c>
      <c r="E74" s="53" t="s">
        <v>18</v>
      </c>
      <c r="F74" s="53">
        <v>2</v>
      </c>
      <c r="G74" s="53">
        <v>8986</v>
      </c>
      <c r="H74" s="53">
        <v>7</v>
      </c>
      <c r="I74" s="53" t="s">
        <v>12</v>
      </c>
      <c r="J74" s="55">
        <v>8.5</v>
      </c>
      <c r="K74" s="55">
        <v>8.4700000000000006</v>
      </c>
      <c r="L74" s="54">
        <v>1</v>
      </c>
      <c r="M74" s="54"/>
      <c r="N74" s="56"/>
    </row>
    <row r="75" spans="1:14" s="57" customFormat="1" ht="20.25">
      <c r="A75" s="53">
        <v>78</v>
      </c>
      <c r="B75" s="53">
        <v>3</v>
      </c>
      <c r="C75" s="58"/>
      <c r="D75" s="58">
        <v>44302</v>
      </c>
      <c r="E75" s="53" t="s">
        <v>18</v>
      </c>
      <c r="F75" s="53">
        <v>2</v>
      </c>
      <c r="G75" s="53">
        <v>8986</v>
      </c>
      <c r="H75" s="53">
        <v>9</v>
      </c>
      <c r="I75" s="53" t="s">
        <v>12</v>
      </c>
      <c r="J75" s="55">
        <v>8.14</v>
      </c>
      <c r="K75" s="55">
        <v>8.1</v>
      </c>
      <c r="L75" s="54">
        <v>1</v>
      </c>
      <c r="M75" s="54" t="s">
        <v>13</v>
      </c>
      <c r="N75" s="56"/>
    </row>
    <row r="76" spans="1:14" s="57" customFormat="1" ht="20.25">
      <c r="A76" s="53">
        <v>81</v>
      </c>
      <c r="B76" s="53">
        <v>3</v>
      </c>
      <c r="C76" s="58"/>
      <c r="D76" s="58">
        <v>44306</v>
      </c>
      <c r="E76" s="53" t="s">
        <v>18</v>
      </c>
      <c r="F76" s="53">
        <v>1</v>
      </c>
      <c r="G76" s="53">
        <v>8987</v>
      </c>
      <c r="H76" s="53">
        <v>7</v>
      </c>
      <c r="I76" s="53" t="s">
        <v>12</v>
      </c>
      <c r="J76" s="55">
        <v>8.1300000000000008</v>
      </c>
      <c r="K76" s="55">
        <v>8.1</v>
      </c>
      <c r="L76" s="54">
        <v>1</v>
      </c>
      <c r="M76" s="54"/>
      <c r="N76" s="56"/>
    </row>
    <row r="77" spans="1:14" s="57" customFormat="1" ht="20.25">
      <c r="A77" s="53">
        <v>82</v>
      </c>
      <c r="B77" s="53">
        <v>3</v>
      </c>
      <c r="C77" s="58"/>
      <c r="D77" s="58">
        <v>44302</v>
      </c>
      <c r="E77" s="53" t="s">
        <v>18</v>
      </c>
      <c r="F77" s="53">
        <v>2</v>
      </c>
      <c r="G77" s="53">
        <v>8987</v>
      </c>
      <c r="H77" s="53">
        <v>8</v>
      </c>
      <c r="I77" s="53" t="s">
        <v>14</v>
      </c>
      <c r="J77" s="55">
        <v>8.14</v>
      </c>
      <c r="K77" s="55">
        <v>8.11</v>
      </c>
      <c r="L77" s="54">
        <v>1</v>
      </c>
      <c r="M77" s="54"/>
      <c r="N77" s="56"/>
    </row>
    <row r="78" spans="1:14" s="57" customFormat="1" ht="20.25">
      <c r="A78" s="53">
        <v>83</v>
      </c>
      <c r="B78" s="53">
        <v>3</v>
      </c>
      <c r="C78" s="58"/>
      <c r="D78" s="58">
        <v>44302</v>
      </c>
      <c r="E78" s="53" t="s">
        <v>18</v>
      </c>
      <c r="F78" s="53">
        <v>2</v>
      </c>
      <c r="G78" s="53">
        <v>8987</v>
      </c>
      <c r="H78" s="53">
        <v>8</v>
      </c>
      <c r="I78" s="53" t="s">
        <v>12</v>
      </c>
      <c r="J78" s="55">
        <v>10.92</v>
      </c>
      <c r="K78" s="55">
        <v>10.88</v>
      </c>
      <c r="L78" s="54">
        <v>1</v>
      </c>
      <c r="M78" s="54"/>
      <c r="N78" s="56"/>
    </row>
    <row r="79" spans="1:14" s="57" customFormat="1" ht="20.25">
      <c r="A79" s="53">
        <v>84</v>
      </c>
      <c r="B79" s="53">
        <v>3</v>
      </c>
      <c r="C79" s="58"/>
      <c r="D79" s="58">
        <v>44301</v>
      </c>
      <c r="E79" s="53" t="s">
        <v>18</v>
      </c>
      <c r="F79" s="53">
        <v>2</v>
      </c>
      <c r="G79" s="53">
        <v>8987</v>
      </c>
      <c r="H79" s="53">
        <v>9</v>
      </c>
      <c r="I79" s="53" t="s">
        <v>12</v>
      </c>
      <c r="J79" s="55">
        <v>8.0299999999999994</v>
      </c>
      <c r="K79" s="55">
        <v>8</v>
      </c>
      <c r="L79" s="54">
        <v>1</v>
      </c>
      <c r="M79" s="54" t="s">
        <v>13</v>
      </c>
      <c r="N79" s="56"/>
    </row>
    <row r="80" spans="1:14" s="57" customFormat="1" ht="20.25">
      <c r="A80" s="53">
        <v>85</v>
      </c>
      <c r="B80" s="53">
        <v>3</v>
      </c>
      <c r="C80" s="58"/>
      <c r="D80" s="58" t="s">
        <v>64</v>
      </c>
      <c r="E80" s="53" t="s">
        <v>18</v>
      </c>
      <c r="F80" s="53">
        <v>1</v>
      </c>
      <c r="G80" s="53">
        <v>8988</v>
      </c>
      <c r="H80" s="53">
        <v>1</v>
      </c>
      <c r="I80" s="53" t="s">
        <v>14</v>
      </c>
      <c r="J80" s="55">
        <v>11.53</v>
      </c>
      <c r="K80" s="55">
        <v>11.51</v>
      </c>
      <c r="L80" s="54">
        <v>1</v>
      </c>
      <c r="M80" s="54" t="s">
        <v>13</v>
      </c>
      <c r="N80" s="56"/>
    </row>
    <row r="81" spans="1:14" s="57" customFormat="1" ht="21.75" customHeight="1">
      <c r="A81" s="53">
        <v>86</v>
      </c>
      <c r="B81" s="53">
        <v>3</v>
      </c>
      <c r="C81" s="58"/>
      <c r="D81" s="58" t="s">
        <v>64</v>
      </c>
      <c r="E81" s="53" t="s">
        <v>18</v>
      </c>
      <c r="F81" s="53">
        <v>2</v>
      </c>
      <c r="G81" s="53">
        <v>8988</v>
      </c>
      <c r="H81" s="53">
        <v>7</v>
      </c>
      <c r="I81" s="53" t="s">
        <v>14</v>
      </c>
      <c r="J81" s="55">
        <v>11.54</v>
      </c>
      <c r="K81" s="55">
        <v>11.51</v>
      </c>
      <c r="L81" s="54">
        <v>1</v>
      </c>
      <c r="M81" s="54" t="s">
        <v>13</v>
      </c>
      <c r="N81" s="56"/>
    </row>
    <row r="82" spans="1:14" s="57" customFormat="1" ht="21.75" customHeight="1">
      <c r="A82" s="53">
        <v>87</v>
      </c>
      <c r="B82" s="53">
        <v>3</v>
      </c>
      <c r="C82" s="58"/>
      <c r="D82" s="58" t="s">
        <v>64</v>
      </c>
      <c r="E82" s="53" t="s">
        <v>18</v>
      </c>
      <c r="F82" s="53">
        <v>2</v>
      </c>
      <c r="G82" s="53">
        <v>8988</v>
      </c>
      <c r="H82" s="53">
        <v>8</v>
      </c>
      <c r="I82" s="53" t="s">
        <v>14</v>
      </c>
      <c r="J82" s="55">
        <v>8.23</v>
      </c>
      <c r="K82" s="55">
        <v>8.1999999999999993</v>
      </c>
      <c r="L82" s="54">
        <v>1</v>
      </c>
      <c r="M82" s="54"/>
      <c r="N82" s="56"/>
    </row>
    <row r="83" spans="1:14" s="57" customFormat="1" ht="20.25">
      <c r="A83" s="53">
        <v>90</v>
      </c>
      <c r="B83" s="53">
        <v>3</v>
      </c>
      <c r="C83" s="58"/>
      <c r="D83" s="58" t="s">
        <v>64</v>
      </c>
      <c r="E83" s="53" t="s">
        <v>18</v>
      </c>
      <c r="F83" s="53">
        <v>2</v>
      </c>
      <c r="G83" s="53">
        <v>8989</v>
      </c>
      <c r="H83" s="53">
        <v>3</v>
      </c>
      <c r="I83" s="53" t="s">
        <v>12</v>
      </c>
      <c r="J83" s="55">
        <v>8.19</v>
      </c>
      <c r="K83" s="55">
        <v>8.16</v>
      </c>
      <c r="L83" s="54">
        <v>1</v>
      </c>
      <c r="M83" s="54"/>
      <c r="N83" s="56"/>
    </row>
    <row r="84" spans="1:14" s="57" customFormat="1" ht="20.25">
      <c r="A84" s="53">
        <v>91</v>
      </c>
      <c r="B84" s="53">
        <v>3</v>
      </c>
      <c r="C84" s="58"/>
      <c r="D84" s="58">
        <v>44299</v>
      </c>
      <c r="E84" s="53" t="s">
        <v>18</v>
      </c>
      <c r="F84" s="53">
        <v>1</v>
      </c>
      <c r="G84" s="53">
        <v>8989</v>
      </c>
      <c r="H84" s="53">
        <v>5</v>
      </c>
      <c r="I84" s="53" t="s">
        <v>14</v>
      </c>
      <c r="J84" s="55">
        <v>10.96</v>
      </c>
      <c r="K84" s="55">
        <v>10.92</v>
      </c>
      <c r="L84" s="54">
        <v>1</v>
      </c>
      <c r="M84" s="54" t="s">
        <v>13</v>
      </c>
      <c r="N84" s="56"/>
    </row>
    <row r="85" spans="1:14" s="57" customFormat="1" ht="20.25">
      <c r="A85" s="53">
        <v>93</v>
      </c>
      <c r="B85" s="53">
        <v>3</v>
      </c>
      <c r="C85" s="58"/>
      <c r="D85" s="58">
        <v>44302</v>
      </c>
      <c r="E85" s="53" t="s">
        <v>18</v>
      </c>
      <c r="F85" s="53">
        <v>2</v>
      </c>
      <c r="G85" s="53">
        <v>8989</v>
      </c>
      <c r="H85" s="53">
        <v>7</v>
      </c>
      <c r="I85" s="53" t="s">
        <v>12</v>
      </c>
      <c r="J85" s="55">
        <v>8.82</v>
      </c>
      <c r="K85" s="55">
        <v>8.7799999999999994</v>
      </c>
      <c r="L85" s="54">
        <v>1</v>
      </c>
      <c r="M85" s="54"/>
      <c r="N85" s="56"/>
    </row>
    <row r="86" spans="1:14" s="57" customFormat="1" ht="20.25">
      <c r="A86" s="53">
        <v>94</v>
      </c>
      <c r="B86" s="53">
        <v>3</v>
      </c>
      <c r="C86" s="58"/>
      <c r="D86" s="58" t="s">
        <v>64</v>
      </c>
      <c r="E86" s="53" t="s">
        <v>18</v>
      </c>
      <c r="F86" s="53">
        <v>2</v>
      </c>
      <c r="G86" s="53">
        <v>8989</v>
      </c>
      <c r="H86" s="53">
        <v>7</v>
      </c>
      <c r="I86" s="53" t="s">
        <v>14</v>
      </c>
      <c r="J86" s="55">
        <v>8.1199999999999992</v>
      </c>
      <c r="K86" s="55">
        <v>8.09</v>
      </c>
      <c r="L86" s="54">
        <v>1</v>
      </c>
      <c r="M86" s="54"/>
      <c r="N86" s="56"/>
    </row>
    <row r="87" spans="1:14" s="57" customFormat="1" ht="20.25">
      <c r="A87" s="53">
        <v>95</v>
      </c>
      <c r="B87" s="53">
        <v>3</v>
      </c>
      <c r="C87" s="58"/>
      <c r="D87" s="58" t="s">
        <v>64</v>
      </c>
      <c r="E87" s="53" t="s">
        <v>18</v>
      </c>
      <c r="F87" s="53">
        <v>2</v>
      </c>
      <c r="G87" s="53">
        <v>8990</v>
      </c>
      <c r="H87" s="53">
        <v>9</v>
      </c>
      <c r="I87" s="53" t="s">
        <v>12</v>
      </c>
      <c r="J87" s="55">
        <v>8.2799999999999994</v>
      </c>
      <c r="K87" s="55">
        <v>8.25</v>
      </c>
      <c r="L87" s="54">
        <v>1</v>
      </c>
      <c r="M87" s="54"/>
      <c r="N87" s="56"/>
    </row>
    <row r="88" spans="1:14" s="57" customFormat="1" ht="20.25">
      <c r="A88" s="53">
        <v>96</v>
      </c>
      <c r="B88" s="53">
        <v>3</v>
      </c>
      <c r="C88" s="58"/>
      <c r="D88" s="58">
        <v>44301</v>
      </c>
      <c r="E88" s="53" t="s">
        <v>18</v>
      </c>
      <c r="F88" s="53">
        <v>2</v>
      </c>
      <c r="G88" s="53">
        <v>8990</v>
      </c>
      <c r="H88" s="53">
        <v>10</v>
      </c>
      <c r="I88" s="53" t="s">
        <v>12</v>
      </c>
      <c r="J88" s="55">
        <v>8.7100000000000009</v>
      </c>
      <c r="K88" s="55">
        <v>8.67</v>
      </c>
      <c r="L88" s="54">
        <v>1</v>
      </c>
      <c r="M88" s="54" t="s">
        <v>13</v>
      </c>
      <c r="N88" s="56"/>
    </row>
    <row r="89" spans="1:14" s="57" customFormat="1" ht="20.25">
      <c r="A89" s="53">
        <v>98</v>
      </c>
      <c r="B89" s="53">
        <v>3</v>
      </c>
      <c r="C89" s="58"/>
      <c r="D89" s="58">
        <v>44299</v>
      </c>
      <c r="E89" s="53" t="s">
        <v>18</v>
      </c>
      <c r="F89" s="53">
        <v>1</v>
      </c>
      <c r="G89" s="53">
        <v>8992</v>
      </c>
      <c r="H89" s="53">
        <v>6</v>
      </c>
      <c r="I89" s="53" t="s">
        <v>14</v>
      </c>
      <c r="J89" s="55">
        <v>8.6300000000000008</v>
      </c>
      <c r="K89" s="55">
        <v>8.61</v>
      </c>
      <c r="L89" s="54">
        <v>1</v>
      </c>
      <c r="M89" s="54" t="s">
        <v>13</v>
      </c>
      <c r="N89" s="56"/>
    </row>
    <row r="90" spans="1:14" s="57" customFormat="1" ht="20.25">
      <c r="A90" s="53">
        <v>99</v>
      </c>
      <c r="B90" s="53">
        <v>3</v>
      </c>
      <c r="C90" s="58"/>
      <c r="D90" s="58">
        <v>44299</v>
      </c>
      <c r="E90" s="53" t="s">
        <v>18</v>
      </c>
      <c r="F90" s="53">
        <v>1</v>
      </c>
      <c r="G90" s="53">
        <v>8992</v>
      </c>
      <c r="H90" s="53">
        <v>7</v>
      </c>
      <c r="I90" s="53" t="s">
        <v>12</v>
      </c>
      <c r="J90" s="55">
        <v>8.23</v>
      </c>
      <c r="K90" s="55">
        <v>8.1999999999999993</v>
      </c>
      <c r="L90" s="54">
        <v>1</v>
      </c>
      <c r="M90" s="54"/>
      <c r="N90" s="56"/>
    </row>
    <row r="91" spans="1:14" s="57" customFormat="1" ht="20.25">
      <c r="A91" s="53">
        <v>100</v>
      </c>
      <c r="B91" s="53">
        <v>3</v>
      </c>
      <c r="C91" s="58"/>
      <c r="D91" s="58" t="s">
        <v>64</v>
      </c>
      <c r="E91" s="53" t="s">
        <v>18</v>
      </c>
      <c r="F91" s="53">
        <v>2</v>
      </c>
      <c r="G91" s="53">
        <v>8992</v>
      </c>
      <c r="H91" s="53">
        <v>7</v>
      </c>
      <c r="I91" s="53" t="s">
        <v>12</v>
      </c>
      <c r="J91" s="55">
        <v>8.0399999999999991</v>
      </c>
      <c r="K91" s="55">
        <v>8</v>
      </c>
      <c r="L91" s="54">
        <v>1</v>
      </c>
      <c r="M91" s="54" t="s">
        <v>13</v>
      </c>
      <c r="N91" s="56"/>
    </row>
    <row r="92" spans="1:14" s="57" customFormat="1" ht="20.25">
      <c r="A92" s="53">
        <v>101</v>
      </c>
      <c r="B92" s="53">
        <v>3</v>
      </c>
      <c r="C92" s="58"/>
      <c r="D92" s="58" t="s">
        <v>64</v>
      </c>
      <c r="E92" s="53" t="s">
        <v>18</v>
      </c>
      <c r="F92" s="53">
        <v>1</v>
      </c>
      <c r="G92" s="53">
        <v>8992</v>
      </c>
      <c r="H92" s="53">
        <v>8</v>
      </c>
      <c r="I92" s="53" t="s">
        <v>14</v>
      </c>
      <c r="J92" s="55">
        <v>8.06</v>
      </c>
      <c r="K92" s="55">
        <v>8.0299999999999994</v>
      </c>
      <c r="L92" s="54">
        <v>1</v>
      </c>
      <c r="M92" s="54"/>
      <c r="N92" s="56"/>
    </row>
    <row r="93" spans="1:14" s="57" customFormat="1" ht="20.25">
      <c r="A93" s="53">
        <v>102</v>
      </c>
      <c r="B93" s="53">
        <v>3</v>
      </c>
      <c r="C93" s="58"/>
      <c r="D93" s="58">
        <v>44299</v>
      </c>
      <c r="E93" s="53" t="s">
        <v>18</v>
      </c>
      <c r="F93" s="53">
        <v>1</v>
      </c>
      <c r="G93" s="53">
        <v>8993</v>
      </c>
      <c r="H93" s="53">
        <v>1</v>
      </c>
      <c r="I93" s="53" t="s">
        <v>14</v>
      </c>
      <c r="J93" s="55">
        <v>10.55</v>
      </c>
      <c r="K93" s="55">
        <v>10.51</v>
      </c>
      <c r="L93" s="54">
        <v>1</v>
      </c>
      <c r="M93" s="54" t="s">
        <v>13</v>
      </c>
      <c r="N93" s="56"/>
    </row>
    <row r="94" spans="1:14" s="57" customFormat="1" ht="20.25">
      <c r="A94" s="53">
        <v>103</v>
      </c>
      <c r="B94" s="53">
        <v>3</v>
      </c>
      <c r="C94" s="58"/>
      <c r="D94" s="58" t="s">
        <v>64</v>
      </c>
      <c r="E94" s="53" t="s">
        <v>18</v>
      </c>
      <c r="F94" s="53">
        <v>1</v>
      </c>
      <c r="G94" s="53">
        <v>8993</v>
      </c>
      <c r="H94" s="53">
        <v>3</v>
      </c>
      <c r="I94" s="53" t="s">
        <v>14</v>
      </c>
      <c r="J94" s="55">
        <v>8.83</v>
      </c>
      <c r="K94" s="55">
        <v>8.8000000000000007</v>
      </c>
      <c r="L94" s="54">
        <v>1</v>
      </c>
      <c r="M94" s="54"/>
      <c r="N94" s="56"/>
    </row>
    <row r="95" spans="1:14" s="10" customFormat="1" ht="20.25">
      <c r="A95" s="53">
        <v>105</v>
      </c>
      <c r="B95" s="53">
        <v>3</v>
      </c>
      <c r="C95" s="58"/>
      <c r="D95" s="58">
        <v>44300</v>
      </c>
      <c r="E95" s="53" t="s">
        <v>18</v>
      </c>
      <c r="F95" s="53">
        <v>2</v>
      </c>
      <c r="G95" s="53">
        <v>8994</v>
      </c>
      <c r="H95" s="53">
        <v>4</v>
      </c>
      <c r="I95" s="53" t="s">
        <v>12</v>
      </c>
      <c r="J95" s="55">
        <v>8.8800000000000008</v>
      </c>
      <c r="K95" s="55">
        <v>8.84</v>
      </c>
      <c r="L95" s="54">
        <v>1</v>
      </c>
      <c r="M95" s="54"/>
      <c r="N95" s="56"/>
    </row>
    <row r="96" spans="1:14" s="1" customFormat="1" ht="18" customHeight="1">
      <c r="A96" s="69" t="s">
        <v>47</v>
      </c>
      <c r="B96" s="69"/>
      <c r="C96" s="69"/>
      <c r="D96" s="69"/>
      <c r="E96" s="69"/>
      <c r="F96" s="69"/>
      <c r="G96" s="69"/>
      <c r="H96" s="69"/>
      <c r="I96" s="69"/>
      <c r="J96" s="69"/>
      <c r="K96" s="69"/>
      <c r="L96" s="69"/>
      <c r="M96" s="69"/>
      <c r="N96" s="69"/>
    </row>
    <row r="97" spans="1:14" s="57" customFormat="1" ht="20.25">
      <c r="A97" s="53">
        <v>106</v>
      </c>
      <c r="B97" s="53">
        <v>5</v>
      </c>
      <c r="C97" s="58"/>
      <c r="D97" s="58">
        <v>44301</v>
      </c>
      <c r="E97" s="53" t="s">
        <v>18</v>
      </c>
      <c r="F97" s="53">
        <v>2</v>
      </c>
      <c r="G97" s="53">
        <v>8997</v>
      </c>
      <c r="H97" s="53">
        <v>1</v>
      </c>
      <c r="I97" s="53" t="s">
        <v>14</v>
      </c>
      <c r="J97" s="55">
        <v>10.029999999999999</v>
      </c>
      <c r="K97" s="55">
        <v>10</v>
      </c>
      <c r="L97" s="54">
        <v>1</v>
      </c>
      <c r="M97" s="54"/>
      <c r="N97" s="56"/>
    </row>
    <row r="98" spans="1:14" s="57" customFormat="1" ht="20.25">
      <c r="A98" s="53">
        <v>107</v>
      </c>
      <c r="B98" s="53">
        <v>5</v>
      </c>
      <c r="C98" s="58"/>
      <c r="D98" s="58">
        <v>44301</v>
      </c>
      <c r="E98" s="53" t="s">
        <v>18</v>
      </c>
      <c r="F98" s="53">
        <v>2</v>
      </c>
      <c r="G98" s="53">
        <v>8997</v>
      </c>
      <c r="H98" s="53">
        <v>5</v>
      </c>
      <c r="I98" s="53" t="s">
        <v>14</v>
      </c>
      <c r="J98" s="55">
        <v>12.54</v>
      </c>
      <c r="K98" s="55">
        <v>12.5</v>
      </c>
      <c r="L98" s="54">
        <v>1</v>
      </c>
      <c r="M98" s="54" t="s">
        <v>13</v>
      </c>
      <c r="N98" s="56"/>
    </row>
    <row r="99" spans="1:14" s="57" customFormat="1" ht="20.25">
      <c r="A99" s="53">
        <v>108</v>
      </c>
      <c r="B99" s="53">
        <v>5</v>
      </c>
      <c r="C99" s="58"/>
      <c r="D99" s="58">
        <v>44301</v>
      </c>
      <c r="E99" s="53" t="s">
        <v>18</v>
      </c>
      <c r="F99" s="53">
        <v>2</v>
      </c>
      <c r="G99" s="53">
        <v>8997</v>
      </c>
      <c r="H99" s="53">
        <v>5</v>
      </c>
      <c r="I99" s="53" t="s">
        <v>12</v>
      </c>
      <c r="J99" s="55">
        <v>9.36</v>
      </c>
      <c r="K99" s="55">
        <v>9.34</v>
      </c>
      <c r="L99" s="54">
        <v>1</v>
      </c>
      <c r="M99" s="54"/>
      <c r="N99" s="56"/>
    </row>
    <row r="100" spans="1:14" s="10" customFormat="1" ht="20.25">
      <c r="A100" s="53">
        <v>109</v>
      </c>
      <c r="B100" s="53">
        <v>5</v>
      </c>
      <c r="C100" s="58"/>
      <c r="D100" s="58">
        <v>44301</v>
      </c>
      <c r="E100" s="53" t="s">
        <v>18</v>
      </c>
      <c r="F100" s="53">
        <v>1</v>
      </c>
      <c r="G100" s="53">
        <v>8997</v>
      </c>
      <c r="H100" s="53">
        <v>6</v>
      </c>
      <c r="I100" s="53" t="s">
        <v>14</v>
      </c>
      <c r="J100" s="55">
        <v>9.8699999999999992</v>
      </c>
      <c r="K100" s="55">
        <v>9.83</v>
      </c>
      <c r="L100" s="54">
        <v>1</v>
      </c>
      <c r="M100" s="54"/>
      <c r="N100" s="56"/>
    </row>
    <row r="101" spans="1:14" s="57" customFormat="1" ht="20.25">
      <c r="A101" s="53">
        <v>110</v>
      </c>
      <c r="B101" s="53">
        <v>5</v>
      </c>
      <c r="C101" s="58"/>
      <c r="D101" s="58">
        <v>44301</v>
      </c>
      <c r="E101" s="53" t="s">
        <v>18</v>
      </c>
      <c r="F101" s="53">
        <v>2</v>
      </c>
      <c r="G101" s="53">
        <v>8998</v>
      </c>
      <c r="H101" s="53">
        <v>2</v>
      </c>
      <c r="I101" s="53" t="s">
        <v>12</v>
      </c>
      <c r="J101" s="55">
        <v>8.14</v>
      </c>
      <c r="K101" s="55">
        <v>8.1</v>
      </c>
      <c r="L101" s="54">
        <v>1</v>
      </c>
      <c r="M101" s="54"/>
      <c r="N101" s="56"/>
    </row>
    <row r="102" spans="1:14" s="52" customFormat="1" ht="20.25">
      <c r="A102" s="53">
        <v>111</v>
      </c>
      <c r="B102" s="53">
        <v>5</v>
      </c>
      <c r="C102" s="58"/>
      <c r="D102" s="58">
        <v>44301</v>
      </c>
      <c r="E102" s="53" t="s">
        <v>18</v>
      </c>
      <c r="F102" s="53">
        <v>2</v>
      </c>
      <c r="G102" s="53">
        <v>8998</v>
      </c>
      <c r="H102" s="53">
        <v>4</v>
      </c>
      <c r="I102" s="53" t="s">
        <v>14</v>
      </c>
      <c r="J102" s="55">
        <v>12.57</v>
      </c>
      <c r="K102" s="55">
        <v>12.5</v>
      </c>
      <c r="L102" s="54">
        <v>1</v>
      </c>
      <c r="M102" s="54" t="s">
        <v>13</v>
      </c>
      <c r="N102" s="56"/>
    </row>
    <row r="103" spans="1:14" s="10" customFormat="1" ht="20.25">
      <c r="A103" s="53">
        <v>112</v>
      </c>
      <c r="B103" s="53">
        <v>5</v>
      </c>
      <c r="C103" s="58"/>
      <c r="D103" s="58">
        <v>44301</v>
      </c>
      <c r="E103" s="53" t="s">
        <v>18</v>
      </c>
      <c r="F103" s="53">
        <v>1</v>
      </c>
      <c r="G103" s="53">
        <v>8999</v>
      </c>
      <c r="H103" s="53">
        <v>3</v>
      </c>
      <c r="I103" s="53" t="s">
        <v>14</v>
      </c>
      <c r="J103" s="55">
        <v>8.1999999999999993</v>
      </c>
      <c r="K103" s="55">
        <v>8.17</v>
      </c>
      <c r="L103" s="54">
        <v>1</v>
      </c>
      <c r="M103" s="54" t="s">
        <v>13</v>
      </c>
      <c r="N103" s="56"/>
    </row>
    <row r="104" spans="1:14" s="10" customFormat="1" ht="20.25">
      <c r="A104" s="53">
        <v>113</v>
      </c>
      <c r="B104" s="53">
        <v>5</v>
      </c>
      <c r="C104" s="58"/>
      <c r="D104" s="58">
        <v>44301</v>
      </c>
      <c r="E104" s="53" t="s">
        <v>18</v>
      </c>
      <c r="F104" s="53">
        <v>2</v>
      </c>
      <c r="G104" s="53">
        <v>9000</v>
      </c>
      <c r="H104" s="53">
        <v>4</v>
      </c>
      <c r="I104" s="53" t="s">
        <v>14</v>
      </c>
      <c r="J104" s="55">
        <v>8.1999999999999993</v>
      </c>
      <c r="K104" s="55">
        <v>8.15</v>
      </c>
      <c r="L104" s="54">
        <v>1</v>
      </c>
      <c r="M104" s="54" t="s">
        <v>13</v>
      </c>
      <c r="N104" s="56"/>
    </row>
    <row r="105" spans="1:14" s="57" customFormat="1" ht="20.25">
      <c r="A105" s="53">
        <v>114</v>
      </c>
      <c r="B105" s="53">
        <v>5</v>
      </c>
      <c r="C105" s="58"/>
      <c r="D105" s="58">
        <v>44301</v>
      </c>
      <c r="E105" s="53" t="s">
        <v>18</v>
      </c>
      <c r="F105" s="53">
        <v>1</v>
      </c>
      <c r="G105" s="53">
        <v>9001</v>
      </c>
      <c r="H105" s="53">
        <v>1</v>
      </c>
      <c r="I105" s="53" t="s">
        <v>12</v>
      </c>
      <c r="J105" s="55">
        <v>8.23</v>
      </c>
      <c r="K105" s="55">
        <v>8.19</v>
      </c>
      <c r="L105" s="54">
        <v>1</v>
      </c>
      <c r="M105" s="54"/>
      <c r="N105" s="56"/>
    </row>
    <row r="106" spans="1:14" s="57" customFormat="1" ht="20.25">
      <c r="A106" s="53">
        <v>115</v>
      </c>
      <c r="B106" s="53">
        <v>5</v>
      </c>
      <c r="C106" s="58"/>
      <c r="D106" s="58">
        <v>44316</v>
      </c>
      <c r="E106" s="53" t="s">
        <v>18</v>
      </c>
      <c r="F106" s="53">
        <v>2</v>
      </c>
      <c r="G106" s="53">
        <v>9001</v>
      </c>
      <c r="H106" s="53">
        <v>5</v>
      </c>
      <c r="I106" s="53" t="s">
        <v>12</v>
      </c>
      <c r="J106" s="55">
        <v>9.6300000000000008</v>
      </c>
      <c r="K106" s="55">
        <v>9.6</v>
      </c>
      <c r="L106" s="54">
        <v>1</v>
      </c>
      <c r="M106" s="54"/>
      <c r="N106" s="56"/>
    </row>
    <row r="107" spans="1:14" s="10" customFormat="1" ht="20.25">
      <c r="A107" s="53">
        <v>116</v>
      </c>
      <c r="B107" s="53">
        <v>5</v>
      </c>
      <c r="C107" s="58"/>
      <c r="D107" s="58">
        <v>44301</v>
      </c>
      <c r="E107" s="53" t="s">
        <v>19</v>
      </c>
      <c r="F107" s="53">
        <v>2</v>
      </c>
      <c r="G107" s="53">
        <v>9002</v>
      </c>
      <c r="H107" s="53">
        <v>10</v>
      </c>
      <c r="I107" s="53" t="s">
        <v>12</v>
      </c>
      <c r="J107" s="55">
        <v>12.54</v>
      </c>
      <c r="K107" s="55">
        <v>12.5</v>
      </c>
      <c r="L107" s="54"/>
      <c r="M107" s="54">
        <v>1</v>
      </c>
      <c r="N107" s="56"/>
    </row>
    <row r="108" spans="1:14" s="57" customFormat="1" ht="20.25">
      <c r="A108" s="53">
        <v>117</v>
      </c>
      <c r="B108" s="53">
        <v>5</v>
      </c>
      <c r="C108" s="58"/>
      <c r="D108" s="58">
        <v>44287</v>
      </c>
      <c r="E108" s="53" t="s">
        <v>19</v>
      </c>
      <c r="F108" s="53">
        <v>2</v>
      </c>
      <c r="G108" s="53">
        <v>9003</v>
      </c>
      <c r="H108" s="53">
        <v>4</v>
      </c>
      <c r="I108" s="53" t="s">
        <v>14</v>
      </c>
      <c r="J108" s="55">
        <v>12.54</v>
      </c>
      <c r="K108" s="55">
        <v>12.5</v>
      </c>
      <c r="L108" s="54"/>
      <c r="M108" s="54">
        <v>1</v>
      </c>
      <c r="N108" s="56"/>
    </row>
    <row r="109" spans="1:14" s="10" customFormat="1" ht="20.25">
      <c r="A109" s="53">
        <v>118</v>
      </c>
      <c r="B109" s="53">
        <v>5</v>
      </c>
      <c r="C109" s="58"/>
      <c r="D109" s="58">
        <v>44301</v>
      </c>
      <c r="E109" s="53" t="s">
        <v>19</v>
      </c>
      <c r="F109" s="53">
        <v>1</v>
      </c>
      <c r="G109" s="53">
        <v>9003</v>
      </c>
      <c r="H109" s="53">
        <v>4</v>
      </c>
      <c r="I109" s="53" t="s">
        <v>14</v>
      </c>
      <c r="J109" s="55">
        <v>12.54</v>
      </c>
      <c r="K109" s="55">
        <v>12.49</v>
      </c>
      <c r="L109" s="54" t="s">
        <v>13</v>
      </c>
      <c r="M109" s="54">
        <v>1</v>
      </c>
      <c r="N109" s="56"/>
    </row>
    <row r="110" spans="1:14" s="52" customFormat="1" ht="20.25">
      <c r="A110" s="53">
        <v>119</v>
      </c>
      <c r="B110" s="53">
        <v>5</v>
      </c>
      <c r="C110" s="58"/>
      <c r="D110" s="58">
        <v>44301</v>
      </c>
      <c r="E110" s="53" t="s">
        <v>20</v>
      </c>
      <c r="F110" s="53">
        <v>1</v>
      </c>
      <c r="G110" s="53">
        <v>9005</v>
      </c>
      <c r="H110" s="53">
        <v>2</v>
      </c>
      <c r="I110" s="53" t="s">
        <v>12</v>
      </c>
      <c r="J110" s="55">
        <v>9.23</v>
      </c>
      <c r="K110" s="55">
        <v>9.1999999999999993</v>
      </c>
      <c r="L110" s="54">
        <v>1</v>
      </c>
      <c r="M110" s="54"/>
      <c r="N110" s="56"/>
    </row>
    <row r="111" spans="1:14" s="57" customFormat="1" ht="20.25">
      <c r="A111" s="53">
        <v>121</v>
      </c>
      <c r="B111" s="53">
        <v>5</v>
      </c>
      <c r="C111" s="58"/>
      <c r="D111" s="58">
        <v>44316</v>
      </c>
      <c r="E111" s="53" t="s">
        <v>20</v>
      </c>
      <c r="F111" s="53">
        <v>1</v>
      </c>
      <c r="G111" s="53">
        <v>9006</v>
      </c>
      <c r="H111" s="53">
        <v>7</v>
      </c>
      <c r="I111" s="53" t="s">
        <v>12</v>
      </c>
      <c r="J111" s="55">
        <v>8.24</v>
      </c>
      <c r="K111" s="55">
        <v>8.1999999999999993</v>
      </c>
      <c r="L111" s="54">
        <v>1</v>
      </c>
      <c r="M111" s="54"/>
      <c r="N111" s="56"/>
    </row>
    <row r="112" spans="1:14" s="1" customFormat="1" ht="18" customHeight="1">
      <c r="A112" s="69" t="s">
        <v>48</v>
      </c>
      <c r="B112" s="69"/>
      <c r="C112" s="69"/>
      <c r="D112" s="69"/>
      <c r="E112" s="69"/>
      <c r="F112" s="69"/>
      <c r="G112" s="69"/>
      <c r="H112" s="69"/>
      <c r="I112" s="69"/>
      <c r="J112" s="69"/>
      <c r="K112" s="69"/>
      <c r="L112" s="69"/>
      <c r="M112" s="69"/>
      <c r="N112" s="69"/>
    </row>
    <row r="113" spans="1:14" s="10" customFormat="1" ht="20.25">
      <c r="A113" s="53">
        <v>122</v>
      </c>
      <c r="B113" s="53">
        <v>6</v>
      </c>
      <c r="C113" s="58"/>
      <c r="D113" s="58">
        <v>44301</v>
      </c>
      <c r="E113" s="53" t="s">
        <v>20</v>
      </c>
      <c r="F113" s="53">
        <v>1</v>
      </c>
      <c r="G113" s="53">
        <v>9008</v>
      </c>
      <c r="H113" s="53">
        <v>7</v>
      </c>
      <c r="I113" s="53" t="s">
        <v>12</v>
      </c>
      <c r="J113" s="55">
        <v>8.0399999999999991</v>
      </c>
      <c r="K113" s="55">
        <v>8</v>
      </c>
      <c r="L113" s="54">
        <v>1</v>
      </c>
      <c r="M113" s="54" t="s">
        <v>13</v>
      </c>
      <c r="N113" s="56"/>
    </row>
    <row r="114" spans="1:14" s="57" customFormat="1" ht="20.25">
      <c r="A114" s="53">
        <v>123</v>
      </c>
      <c r="B114" s="53">
        <v>6</v>
      </c>
      <c r="C114" s="58"/>
      <c r="D114" s="58">
        <v>44301</v>
      </c>
      <c r="E114" s="53" t="s">
        <v>20</v>
      </c>
      <c r="F114" s="53">
        <v>1</v>
      </c>
      <c r="G114" s="53">
        <v>9009</v>
      </c>
      <c r="H114" s="53">
        <v>2</v>
      </c>
      <c r="I114" s="53" t="s">
        <v>14</v>
      </c>
      <c r="J114" s="55">
        <v>8.0399999999999991</v>
      </c>
      <c r="K114" s="55">
        <v>8</v>
      </c>
      <c r="L114" s="54">
        <v>1</v>
      </c>
      <c r="M114" s="54"/>
      <c r="N114" s="56"/>
    </row>
    <row r="115" spans="1:14" s="10" customFormat="1" ht="20.25">
      <c r="A115" s="53">
        <v>124</v>
      </c>
      <c r="B115" s="53">
        <v>6</v>
      </c>
      <c r="C115" s="58"/>
      <c r="D115" s="58">
        <v>44301</v>
      </c>
      <c r="E115" s="53" t="s">
        <v>20</v>
      </c>
      <c r="F115" s="53">
        <v>1</v>
      </c>
      <c r="G115" s="53">
        <v>9010</v>
      </c>
      <c r="H115" s="53">
        <v>10</v>
      </c>
      <c r="I115" s="53" t="s">
        <v>12</v>
      </c>
      <c r="J115" s="55">
        <v>9.44</v>
      </c>
      <c r="K115" s="55">
        <v>9.4</v>
      </c>
      <c r="L115" s="54">
        <v>1</v>
      </c>
      <c r="M115" s="54" t="s">
        <v>13</v>
      </c>
      <c r="N115" s="56"/>
    </row>
    <row r="116" spans="1:14" s="57" customFormat="1" ht="20.25">
      <c r="A116" s="53">
        <v>125</v>
      </c>
      <c r="B116" s="53">
        <v>6</v>
      </c>
      <c r="C116" s="58"/>
      <c r="D116" s="58">
        <v>44301</v>
      </c>
      <c r="E116" s="53" t="s">
        <v>20</v>
      </c>
      <c r="F116" s="53">
        <v>1</v>
      </c>
      <c r="G116" s="53">
        <v>9011</v>
      </c>
      <c r="H116" s="53">
        <v>8</v>
      </c>
      <c r="I116" s="53" t="s">
        <v>12</v>
      </c>
      <c r="J116" s="55">
        <v>8.0350000000000001</v>
      </c>
      <c r="K116" s="55">
        <v>8.01</v>
      </c>
      <c r="L116" s="54">
        <v>1</v>
      </c>
      <c r="M116" s="54"/>
      <c r="N116" s="56"/>
    </row>
    <row r="117" spans="1:14" s="10" customFormat="1" ht="20.25">
      <c r="A117" s="53">
        <v>126</v>
      </c>
      <c r="B117" s="53">
        <v>6</v>
      </c>
      <c r="C117" s="58"/>
      <c r="D117" s="58">
        <v>44301</v>
      </c>
      <c r="E117" s="53" t="s">
        <v>20</v>
      </c>
      <c r="F117" s="53">
        <v>1</v>
      </c>
      <c r="G117" s="53">
        <v>9012</v>
      </c>
      <c r="H117" s="53">
        <v>7</v>
      </c>
      <c r="I117" s="53" t="s">
        <v>14</v>
      </c>
      <c r="J117" s="55">
        <v>8.14</v>
      </c>
      <c r="K117" s="55">
        <v>8.1</v>
      </c>
      <c r="L117" s="54">
        <v>1</v>
      </c>
      <c r="M117" s="54" t="s">
        <v>13</v>
      </c>
      <c r="N117" s="56"/>
    </row>
    <row r="118" spans="1:14" s="10" customFormat="1" ht="20.25">
      <c r="A118" s="53">
        <v>127</v>
      </c>
      <c r="B118" s="53">
        <v>6</v>
      </c>
      <c r="C118" s="58"/>
      <c r="D118" s="58">
        <v>44301</v>
      </c>
      <c r="E118" s="53" t="s">
        <v>21</v>
      </c>
      <c r="F118" s="53">
        <v>2</v>
      </c>
      <c r="G118" s="53">
        <v>9013</v>
      </c>
      <c r="H118" s="53">
        <v>7</v>
      </c>
      <c r="I118" s="53" t="s">
        <v>14</v>
      </c>
      <c r="J118" s="55">
        <v>12.55</v>
      </c>
      <c r="K118" s="55">
        <v>12.5</v>
      </c>
      <c r="L118" s="54" t="s">
        <v>13</v>
      </c>
      <c r="M118" s="54">
        <v>1</v>
      </c>
      <c r="N118" s="56"/>
    </row>
    <row r="119" spans="1:14" s="10" customFormat="1" ht="20.25">
      <c r="A119" s="53">
        <v>129</v>
      </c>
      <c r="B119" s="53">
        <v>6</v>
      </c>
      <c r="C119" s="58"/>
      <c r="D119" s="58">
        <v>44303</v>
      </c>
      <c r="E119" s="53" t="s">
        <v>21</v>
      </c>
      <c r="F119" s="53">
        <v>1</v>
      </c>
      <c r="G119" s="53">
        <v>9013</v>
      </c>
      <c r="H119" s="53">
        <v>8</v>
      </c>
      <c r="I119" s="53" t="s">
        <v>14</v>
      </c>
      <c r="J119" s="55">
        <v>12.54</v>
      </c>
      <c r="K119" s="55">
        <v>12.51</v>
      </c>
      <c r="L119" s="54" t="s">
        <v>13</v>
      </c>
      <c r="M119" s="54">
        <v>1</v>
      </c>
      <c r="N119" s="56"/>
    </row>
    <row r="120" spans="1:14" s="52" customFormat="1" ht="20.25">
      <c r="A120" s="53">
        <v>131</v>
      </c>
      <c r="B120" s="53">
        <v>6</v>
      </c>
      <c r="C120" s="58"/>
      <c r="D120" s="58">
        <v>44303</v>
      </c>
      <c r="E120" s="53" t="s">
        <v>21</v>
      </c>
      <c r="F120" s="53">
        <v>2</v>
      </c>
      <c r="G120" s="53">
        <v>9013</v>
      </c>
      <c r="H120" s="53">
        <v>10</v>
      </c>
      <c r="I120" s="53" t="s">
        <v>12</v>
      </c>
      <c r="J120" s="55">
        <v>8.08</v>
      </c>
      <c r="K120" s="55">
        <v>8.0399999999999991</v>
      </c>
      <c r="L120" s="54">
        <v>1</v>
      </c>
      <c r="M120" s="54"/>
      <c r="N120" s="56"/>
    </row>
    <row r="121" spans="1:14" s="10" customFormat="1" ht="20.25">
      <c r="A121" s="53">
        <v>133</v>
      </c>
      <c r="B121" s="53">
        <v>6</v>
      </c>
      <c r="C121" s="58"/>
      <c r="D121" s="58">
        <v>44303</v>
      </c>
      <c r="E121" s="53" t="s">
        <v>21</v>
      </c>
      <c r="F121" s="53">
        <v>2</v>
      </c>
      <c r="G121" s="53">
        <v>9014</v>
      </c>
      <c r="H121" s="53">
        <v>2</v>
      </c>
      <c r="I121" s="53" t="s">
        <v>14</v>
      </c>
      <c r="J121" s="55">
        <v>12.54</v>
      </c>
      <c r="K121" s="55">
        <v>12.5</v>
      </c>
      <c r="L121" s="54" t="s">
        <v>13</v>
      </c>
      <c r="M121" s="54">
        <v>1</v>
      </c>
      <c r="N121" s="56"/>
    </row>
    <row r="122" spans="1:14" s="10" customFormat="1" ht="20.25">
      <c r="A122" s="53">
        <v>136</v>
      </c>
      <c r="B122" s="53">
        <v>6</v>
      </c>
      <c r="C122" s="58"/>
      <c r="D122" s="58">
        <v>44306</v>
      </c>
      <c r="E122" s="53" t="s">
        <v>21</v>
      </c>
      <c r="F122" s="53">
        <v>1</v>
      </c>
      <c r="G122" s="53">
        <v>9014</v>
      </c>
      <c r="H122" s="53">
        <v>4</v>
      </c>
      <c r="I122" s="53" t="s">
        <v>14</v>
      </c>
      <c r="J122" s="55">
        <v>12.58</v>
      </c>
      <c r="K122" s="55">
        <v>12.54</v>
      </c>
      <c r="L122" s="54" t="s">
        <v>13</v>
      </c>
      <c r="M122" s="54">
        <v>1</v>
      </c>
      <c r="N122" s="56"/>
    </row>
    <row r="123" spans="1:14" s="10" customFormat="1" ht="20.25">
      <c r="A123" s="53">
        <v>137</v>
      </c>
      <c r="B123" s="53">
        <v>6</v>
      </c>
      <c r="C123" s="58"/>
      <c r="D123" s="58">
        <v>44306</v>
      </c>
      <c r="E123" s="53" t="s">
        <v>21</v>
      </c>
      <c r="F123" s="53">
        <v>1</v>
      </c>
      <c r="G123" s="53">
        <v>9014</v>
      </c>
      <c r="H123" s="53">
        <v>4</v>
      </c>
      <c r="I123" s="53" t="s">
        <v>12</v>
      </c>
      <c r="J123" s="55">
        <v>12.54</v>
      </c>
      <c r="K123" s="55">
        <v>12.5</v>
      </c>
      <c r="L123" s="54" t="s">
        <v>13</v>
      </c>
      <c r="M123" s="54">
        <v>1</v>
      </c>
      <c r="N123" s="56"/>
    </row>
    <row r="124" spans="1:14" s="57" customFormat="1" ht="20.25">
      <c r="A124" s="53">
        <v>138</v>
      </c>
      <c r="B124" s="53">
        <v>6</v>
      </c>
      <c r="C124" s="58"/>
      <c r="D124" s="58">
        <v>44306</v>
      </c>
      <c r="E124" s="53" t="s">
        <v>21</v>
      </c>
      <c r="F124" s="53">
        <v>1</v>
      </c>
      <c r="G124" s="53">
        <v>9015</v>
      </c>
      <c r="H124" s="53">
        <v>4</v>
      </c>
      <c r="I124" s="53" t="s">
        <v>14</v>
      </c>
      <c r="J124" s="55">
        <v>12.54</v>
      </c>
      <c r="K124" s="55">
        <v>12.5</v>
      </c>
      <c r="L124" s="54" t="s">
        <v>13</v>
      </c>
      <c r="M124" s="54">
        <v>1</v>
      </c>
      <c r="N124" s="56"/>
    </row>
    <row r="125" spans="1:14" s="10" customFormat="1" ht="20.25">
      <c r="A125" s="53">
        <v>139</v>
      </c>
      <c r="B125" s="53">
        <v>6</v>
      </c>
      <c r="C125" s="58"/>
      <c r="D125" s="58">
        <v>44306</v>
      </c>
      <c r="E125" s="53" t="s">
        <v>21</v>
      </c>
      <c r="F125" s="53">
        <v>1</v>
      </c>
      <c r="G125" s="53">
        <v>9015</v>
      </c>
      <c r="H125" s="53">
        <v>4</v>
      </c>
      <c r="I125" s="53" t="s">
        <v>12</v>
      </c>
      <c r="J125" s="55">
        <v>12.5</v>
      </c>
      <c r="K125" s="55">
        <v>12.48</v>
      </c>
      <c r="L125" s="54" t="s">
        <v>13</v>
      </c>
      <c r="M125" s="54">
        <v>1</v>
      </c>
      <c r="N125" s="56"/>
    </row>
    <row r="126" spans="1:14" s="52" customFormat="1" ht="20.25">
      <c r="A126" s="53">
        <v>140</v>
      </c>
      <c r="B126" s="53">
        <v>6</v>
      </c>
      <c r="C126" s="58"/>
      <c r="D126" s="58">
        <v>44306</v>
      </c>
      <c r="E126" s="53" t="s">
        <v>21</v>
      </c>
      <c r="F126" s="53">
        <v>2</v>
      </c>
      <c r="G126" s="53">
        <v>9015</v>
      </c>
      <c r="H126" s="53">
        <v>5</v>
      </c>
      <c r="I126" s="53" t="s">
        <v>12</v>
      </c>
      <c r="J126" s="55">
        <v>12.5</v>
      </c>
      <c r="K126" s="55">
        <v>12.47</v>
      </c>
      <c r="L126" s="54"/>
      <c r="M126" s="54">
        <v>1</v>
      </c>
      <c r="N126" s="56"/>
    </row>
    <row r="127" spans="1:14" s="52" customFormat="1" ht="20.25">
      <c r="A127" s="53">
        <v>141</v>
      </c>
      <c r="B127" s="53">
        <v>6</v>
      </c>
      <c r="C127" s="58"/>
      <c r="D127" s="58">
        <v>44308</v>
      </c>
      <c r="E127" s="53" t="s">
        <v>21</v>
      </c>
      <c r="F127" s="53">
        <v>2</v>
      </c>
      <c r="G127" s="53">
        <v>9015</v>
      </c>
      <c r="H127" s="53">
        <v>5</v>
      </c>
      <c r="I127" s="53" t="s">
        <v>14</v>
      </c>
      <c r="J127" s="55">
        <v>12.54</v>
      </c>
      <c r="K127" s="55">
        <v>12.5</v>
      </c>
      <c r="L127" s="54"/>
      <c r="M127" s="54">
        <v>1</v>
      </c>
      <c r="N127" s="56"/>
    </row>
    <row r="128" spans="1:14" s="57" customFormat="1" ht="20.25">
      <c r="A128" s="53">
        <v>142</v>
      </c>
      <c r="B128" s="53">
        <v>6</v>
      </c>
      <c r="C128" s="58"/>
      <c r="D128" s="58">
        <v>44308</v>
      </c>
      <c r="E128" s="53" t="s">
        <v>21</v>
      </c>
      <c r="F128" s="53">
        <v>2</v>
      </c>
      <c r="G128" s="53">
        <v>9015</v>
      </c>
      <c r="H128" s="53">
        <v>6</v>
      </c>
      <c r="I128" s="53" t="s">
        <v>14</v>
      </c>
      <c r="J128" s="55">
        <v>12.5</v>
      </c>
      <c r="K128" s="55">
        <v>12.49</v>
      </c>
      <c r="L128" s="54"/>
      <c r="M128" s="54">
        <v>1</v>
      </c>
      <c r="N128" s="56"/>
    </row>
    <row r="129" spans="1:14" s="10" customFormat="1" ht="20.25">
      <c r="A129" s="53">
        <v>143</v>
      </c>
      <c r="B129" s="53">
        <v>6</v>
      </c>
      <c r="C129" s="58"/>
      <c r="D129" s="58">
        <v>44308</v>
      </c>
      <c r="E129" s="53" t="s">
        <v>21</v>
      </c>
      <c r="F129" s="53">
        <v>1</v>
      </c>
      <c r="G129" s="53">
        <v>9015</v>
      </c>
      <c r="H129" s="53">
        <v>8</v>
      </c>
      <c r="I129" s="53" t="s">
        <v>12</v>
      </c>
      <c r="J129" s="55">
        <v>12.54</v>
      </c>
      <c r="K129" s="55">
        <v>12.5</v>
      </c>
      <c r="L129" s="54" t="s">
        <v>13</v>
      </c>
      <c r="M129" s="54">
        <v>1</v>
      </c>
      <c r="N129" s="56"/>
    </row>
    <row r="130" spans="1:14" s="10" customFormat="1" ht="20.25">
      <c r="A130" s="53">
        <v>144</v>
      </c>
      <c r="B130" s="53">
        <v>6</v>
      </c>
      <c r="C130" s="58"/>
      <c r="D130" s="58">
        <v>44308</v>
      </c>
      <c r="E130" s="53" t="s">
        <v>21</v>
      </c>
      <c r="F130" s="53">
        <v>1</v>
      </c>
      <c r="G130" s="53">
        <v>9015</v>
      </c>
      <c r="H130" s="53">
        <v>8</v>
      </c>
      <c r="I130" s="53" t="s">
        <v>14</v>
      </c>
      <c r="J130" s="55">
        <v>12.54</v>
      </c>
      <c r="K130" s="55">
        <v>12.5</v>
      </c>
      <c r="L130" s="54" t="s">
        <v>13</v>
      </c>
      <c r="M130" s="54">
        <v>1</v>
      </c>
      <c r="N130" s="56"/>
    </row>
    <row r="131" spans="1:14" s="10" customFormat="1" ht="20.25">
      <c r="A131" s="53">
        <v>145</v>
      </c>
      <c r="B131" s="53">
        <v>6</v>
      </c>
      <c r="C131" s="58"/>
      <c r="D131" s="58">
        <v>44311</v>
      </c>
      <c r="E131" s="53" t="s">
        <v>21</v>
      </c>
      <c r="F131" s="53">
        <v>2</v>
      </c>
      <c r="G131" s="53">
        <v>9015</v>
      </c>
      <c r="H131" s="53">
        <v>9</v>
      </c>
      <c r="I131" s="53" t="s">
        <v>14</v>
      </c>
      <c r="J131" s="55">
        <v>12.54</v>
      </c>
      <c r="K131" s="55">
        <v>12.5</v>
      </c>
      <c r="L131" s="54"/>
      <c r="M131" s="54">
        <v>1</v>
      </c>
      <c r="N131" s="56"/>
    </row>
    <row r="132" spans="1:14" s="57" customFormat="1" ht="20.25">
      <c r="A132" s="53">
        <v>146</v>
      </c>
      <c r="B132" s="53">
        <v>6</v>
      </c>
      <c r="C132" s="58"/>
      <c r="D132" s="58">
        <v>44311</v>
      </c>
      <c r="E132" s="53" t="s">
        <v>21</v>
      </c>
      <c r="F132" s="53">
        <v>2</v>
      </c>
      <c r="G132" s="53">
        <v>9015</v>
      </c>
      <c r="H132" s="53">
        <v>9</v>
      </c>
      <c r="I132" s="53" t="s">
        <v>12</v>
      </c>
      <c r="J132" s="55">
        <v>12.58</v>
      </c>
      <c r="K132" s="55">
        <v>12.54</v>
      </c>
      <c r="L132" s="54"/>
      <c r="M132" s="54">
        <v>1</v>
      </c>
      <c r="N132" s="56"/>
    </row>
    <row r="133" spans="1:14" s="10" customFormat="1" ht="20.25">
      <c r="A133" s="53">
        <v>147</v>
      </c>
      <c r="B133" s="53">
        <v>6</v>
      </c>
      <c r="C133" s="58"/>
      <c r="D133" s="58">
        <v>44311</v>
      </c>
      <c r="E133" s="53" t="s">
        <v>21</v>
      </c>
      <c r="F133" s="53">
        <v>1</v>
      </c>
      <c r="G133" s="53">
        <v>9015</v>
      </c>
      <c r="H133" s="53">
        <v>9</v>
      </c>
      <c r="I133" s="53" t="s">
        <v>14</v>
      </c>
      <c r="J133" s="55">
        <v>8.6300000000000008</v>
      </c>
      <c r="K133" s="55">
        <v>8.6</v>
      </c>
      <c r="L133" s="54">
        <v>1</v>
      </c>
      <c r="M133" s="54"/>
      <c r="N133" s="56"/>
    </row>
    <row r="134" spans="1:14" s="57" customFormat="1" ht="20.25" customHeight="1">
      <c r="A134" s="53">
        <v>149</v>
      </c>
      <c r="B134" s="53">
        <v>6</v>
      </c>
      <c r="C134" s="58"/>
      <c r="D134" s="58">
        <v>44313</v>
      </c>
      <c r="E134" s="53" t="s">
        <v>22</v>
      </c>
      <c r="F134" s="53">
        <v>1</v>
      </c>
      <c r="G134" s="53">
        <v>9016</v>
      </c>
      <c r="H134" s="53">
        <v>7</v>
      </c>
      <c r="I134" s="53" t="s">
        <v>14</v>
      </c>
      <c r="J134" s="55">
        <v>8.0299999999999994</v>
      </c>
      <c r="K134" s="55">
        <v>8</v>
      </c>
      <c r="L134" s="54">
        <v>1</v>
      </c>
      <c r="M134" s="54" t="s">
        <v>13</v>
      </c>
      <c r="N134" s="56"/>
    </row>
    <row r="135" spans="1:14" s="57" customFormat="1" ht="20.25" customHeight="1">
      <c r="A135" s="53">
        <v>151</v>
      </c>
      <c r="B135" s="53">
        <v>6</v>
      </c>
      <c r="C135" s="58"/>
      <c r="D135" s="58">
        <v>44313</v>
      </c>
      <c r="E135" s="53" t="s">
        <v>22</v>
      </c>
      <c r="F135" s="53">
        <v>2</v>
      </c>
      <c r="G135" s="53">
        <v>9017</v>
      </c>
      <c r="H135" s="53">
        <v>3</v>
      </c>
      <c r="I135" s="53" t="s">
        <v>12</v>
      </c>
      <c r="J135" s="55">
        <v>10</v>
      </c>
      <c r="K135" s="55">
        <v>9.9600000000000009</v>
      </c>
      <c r="L135" s="54">
        <v>1</v>
      </c>
      <c r="M135" s="54"/>
      <c r="N135" s="56"/>
    </row>
    <row r="136" spans="1:14" s="57" customFormat="1" ht="20.25" customHeight="1">
      <c r="A136" s="53">
        <v>152</v>
      </c>
      <c r="B136" s="53">
        <v>6</v>
      </c>
      <c r="C136" s="58"/>
      <c r="D136" s="58">
        <v>44313</v>
      </c>
      <c r="E136" s="53" t="s">
        <v>22</v>
      </c>
      <c r="F136" s="53">
        <v>2</v>
      </c>
      <c r="G136" s="53">
        <v>9017</v>
      </c>
      <c r="H136" s="53">
        <v>4</v>
      </c>
      <c r="I136" s="53" t="s">
        <v>14</v>
      </c>
      <c r="J136" s="55">
        <v>8.06</v>
      </c>
      <c r="K136" s="55">
        <v>8</v>
      </c>
      <c r="L136" s="54">
        <v>1</v>
      </c>
      <c r="M136" s="54"/>
      <c r="N136" s="56"/>
    </row>
    <row r="137" spans="1:14" s="57" customFormat="1" ht="20.25" customHeight="1">
      <c r="A137" s="53">
        <v>153</v>
      </c>
      <c r="B137" s="53">
        <v>6</v>
      </c>
      <c r="C137" s="58"/>
      <c r="D137" s="58">
        <v>44313</v>
      </c>
      <c r="E137" s="53" t="s">
        <v>22</v>
      </c>
      <c r="F137" s="53">
        <v>1</v>
      </c>
      <c r="G137" s="53">
        <v>9017</v>
      </c>
      <c r="H137" s="53">
        <v>4</v>
      </c>
      <c r="I137" s="53" t="s">
        <v>14</v>
      </c>
      <c r="J137" s="55">
        <v>8.06</v>
      </c>
      <c r="K137" s="55">
        <v>8.0399999999999991</v>
      </c>
      <c r="L137" s="54">
        <v>1</v>
      </c>
      <c r="M137" s="54"/>
      <c r="N137" s="56"/>
    </row>
    <row r="138" spans="1:14" s="57" customFormat="1" ht="20.25" customHeight="1">
      <c r="A138" s="53">
        <v>154</v>
      </c>
      <c r="B138" s="53">
        <v>6</v>
      </c>
      <c r="C138" s="58"/>
      <c r="D138" s="58">
        <v>44315</v>
      </c>
      <c r="E138" s="53" t="s">
        <v>22</v>
      </c>
      <c r="F138" s="53">
        <v>1</v>
      </c>
      <c r="G138" s="53">
        <v>9018</v>
      </c>
      <c r="H138" s="53">
        <v>1</v>
      </c>
      <c r="I138" s="53" t="s">
        <v>12</v>
      </c>
      <c r="J138" s="55">
        <v>8.16</v>
      </c>
      <c r="K138" s="55">
        <v>8.14</v>
      </c>
      <c r="L138" s="54">
        <v>1</v>
      </c>
      <c r="M138" s="54" t="s">
        <v>13</v>
      </c>
      <c r="N138" s="56"/>
    </row>
    <row r="139" spans="1:14" s="57" customFormat="1" ht="20.25" customHeight="1">
      <c r="A139" s="53">
        <v>155</v>
      </c>
      <c r="B139" s="53">
        <v>6</v>
      </c>
      <c r="C139" s="58"/>
      <c r="D139" s="58">
        <v>44315</v>
      </c>
      <c r="E139" s="53" t="s">
        <v>22</v>
      </c>
      <c r="F139" s="53">
        <v>2</v>
      </c>
      <c r="G139" s="53">
        <v>9018</v>
      </c>
      <c r="H139" s="53">
        <v>1</v>
      </c>
      <c r="I139" s="53" t="s">
        <v>12</v>
      </c>
      <c r="J139" s="55">
        <v>8.94</v>
      </c>
      <c r="K139" s="55">
        <v>8.9</v>
      </c>
      <c r="L139" s="54">
        <v>1</v>
      </c>
      <c r="M139" s="54" t="s">
        <v>13</v>
      </c>
      <c r="N139" s="56"/>
    </row>
    <row r="140" spans="1:14" s="57" customFormat="1" ht="30.75" customHeight="1">
      <c r="A140" s="53">
        <v>156</v>
      </c>
      <c r="B140" s="53">
        <v>6</v>
      </c>
      <c r="C140" s="58"/>
      <c r="D140" s="58">
        <v>44315</v>
      </c>
      <c r="E140" s="53" t="s">
        <v>22</v>
      </c>
      <c r="F140" s="53">
        <v>1</v>
      </c>
      <c r="G140" s="53">
        <v>9018</v>
      </c>
      <c r="H140" s="53">
        <v>3</v>
      </c>
      <c r="I140" s="53" t="s">
        <v>12</v>
      </c>
      <c r="J140" s="55">
        <v>8.14</v>
      </c>
      <c r="K140" s="55">
        <v>8.1</v>
      </c>
      <c r="L140" s="54">
        <v>1</v>
      </c>
      <c r="M140" s="54"/>
      <c r="N140" s="56"/>
    </row>
    <row r="141" spans="1:14" s="57" customFormat="1" ht="20.25" customHeight="1">
      <c r="A141" s="53">
        <v>159</v>
      </c>
      <c r="B141" s="53">
        <v>6</v>
      </c>
      <c r="C141" s="58"/>
      <c r="D141" s="58">
        <v>44315</v>
      </c>
      <c r="E141" s="53" t="s">
        <v>22</v>
      </c>
      <c r="F141" s="53">
        <v>2</v>
      </c>
      <c r="G141" s="53">
        <v>9018</v>
      </c>
      <c r="H141" s="53">
        <v>8</v>
      </c>
      <c r="I141" s="53" t="s">
        <v>12</v>
      </c>
      <c r="J141" s="55">
        <v>8.98</v>
      </c>
      <c r="K141" s="55">
        <v>8.94</v>
      </c>
      <c r="L141" s="54">
        <v>1</v>
      </c>
      <c r="M141" s="54"/>
      <c r="N141" s="56"/>
    </row>
    <row r="142" spans="1:14" s="57" customFormat="1" ht="20.25" customHeight="1">
      <c r="A142" s="53">
        <v>160</v>
      </c>
      <c r="B142" s="53">
        <v>6</v>
      </c>
      <c r="C142" s="58"/>
      <c r="D142" s="58">
        <v>44315</v>
      </c>
      <c r="E142" s="53" t="s">
        <v>22</v>
      </c>
      <c r="F142" s="53">
        <v>1</v>
      </c>
      <c r="G142" s="53">
        <v>9018</v>
      </c>
      <c r="H142" s="53">
        <v>9</v>
      </c>
      <c r="I142" s="53" t="s">
        <v>12</v>
      </c>
      <c r="J142" s="55">
        <v>8.0399999999999991</v>
      </c>
      <c r="K142" s="55">
        <v>8</v>
      </c>
      <c r="L142" s="54">
        <v>1</v>
      </c>
      <c r="M142" s="54" t="s">
        <v>13</v>
      </c>
      <c r="N142" s="56"/>
    </row>
    <row r="143" spans="1:14" s="57" customFormat="1" ht="20.25" customHeight="1">
      <c r="A143" s="53">
        <v>161</v>
      </c>
      <c r="B143" s="53">
        <v>6</v>
      </c>
      <c r="C143" s="58"/>
      <c r="D143" s="58">
        <v>44316</v>
      </c>
      <c r="E143" s="53" t="s">
        <v>22</v>
      </c>
      <c r="F143" s="53">
        <v>1</v>
      </c>
      <c r="G143" s="53">
        <v>9019</v>
      </c>
      <c r="H143" s="53">
        <v>3</v>
      </c>
      <c r="I143" s="53" t="s">
        <v>12</v>
      </c>
      <c r="J143" s="55">
        <v>8.1199999999999992</v>
      </c>
      <c r="K143" s="55">
        <v>8.09</v>
      </c>
      <c r="L143" s="54">
        <v>1</v>
      </c>
      <c r="M143" s="54"/>
      <c r="N143" s="56"/>
    </row>
    <row r="144" spans="1:14" s="57" customFormat="1" ht="20.25" customHeight="1">
      <c r="A144" s="53">
        <v>162</v>
      </c>
      <c r="B144" s="53">
        <v>6</v>
      </c>
      <c r="C144" s="58"/>
      <c r="D144" s="58">
        <v>44316</v>
      </c>
      <c r="E144" s="53" t="s">
        <v>22</v>
      </c>
      <c r="F144" s="53">
        <v>2</v>
      </c>
      <c r="G144" s="53">
        <v>9019</v>
      </c>
      <c r="H144" s="53">
        <v>5</v>
      </c>
      <c r="I144" s="53" t="s">
        <v>14</v>
      </c>
      <c r="J144" s="55">
        <v>8.58</v>
      </c>
      <c r="K144" s="55">
        <v>8.5399999999999991</v>
      </c>
      <c r="L144" s="54">
        <v>1</v>
      </c>
      <c r="M144" s="54"/>
      <c r="N144" s="56"/>
    </row>
    <row r="145" spans="1:14" s="57" customFormat="1" ht="20.25" customHeight="1">
      <c r="A145" s="53">
        <v>164</v>
      </c>
      <c r="B145" s="53">
        <v>6</v>
      </c>
      <c r="C145" s="58"/>
      <c r="D145" s="58">
        <v>44316</v>
      </c>
      <c r="E145" s="53" t="s">
        <v>22</v>
      </c>
      <c r="F145" s="53">
        <v>2</v>
      </c>
      <c r="G145" s="53">
        <v>9019</v>
      </c>
      <c r="H145" s="53">
        <v>8</v>
      </c>
      <c r="I145" s="53" t="s">
        <v>14</v>
      </c>
      <c r="J145" s="55">
        <v>9.0500000000000007</v>
      </c>
      <c r="K145" s="55">
        <v>9</v>
      </c>
      <c r="L145" s="54">
        <v>1</v>
      </c>
      <c r="M145" s="54"/>
      <c r="N145" s="56"/>
    </row>
    <row r="146" spans="1:14" s="10" customFormat="1" ht="24" customHeight="1">
      <c r="A146" s="53">
        <v>165</v>
      </c>
      <c r="B146" s="53">
        <v>6</v>
      </c>
      <c r="C146" s="58"/>
      <c r="D146" s="58">
        <v>44285</v>
      </c>
      <c r="E146" s="53" t="s">
        <v>22</v>
      </c>
      <c r="F146" s="53">
        <v>1</v>
      </c>
      <c r="G146" s="53">
        <v>9019</v>
      </c>
      <c r="H146" s="53">
        <v>8</v>
      </c>
      <c r="I146" s="53" t="s">
        <v>12</v>
      </c>
      <c r="J146" s="55">
        <v>9.01</v>
      </c>
      <c r="K146" s="55">
        <v>8.9499999999999993</v>
      </c>
      <c r="L146" s="54">
        <v>1</v>
      </c>
      <c r="M146" s="54" t="s">
        <v>13</v>
      </c>
      <c r="N146" s="56"/>
    </row>
    <row r="147" spans="1:14" s="10" customFormat="1" ht="20.25" customHeight="1">
      <c r="A147" s="53">
        <v>166</v>
      </c>
      <c r="B147" s="53">
        <v>6</v>
      </c>
      <c r="C147" s="58"/>
      <c r="D147" s="58">
        <v>44316</v>
      </c>
      <c r="E147" s="53" t="s">
        <v>22</v>
      </c>
      <c r="F147" s="53">
        <v>1</v>
      </c>
      <c r="G147" s="53">
        <v>9019</v>
      </c>
      <c r="H147" s="53">
        <v>10</v>
      </c>
      <c r="I147" s="53" t="s">
        <v>12</v>
      </c>
      <c r="J147" s="55">
        <v>8.0399999999999991</v>
      </c>
      <c r="K147" s="55">
        <v>8</v>
      </c>
      <c r="L147" s="54">
        <v>1</v>
      </c>
      <c r="M147" s="54" t="s">
        <v>13</v>
      </c>
      <c r="N147" s="56"/>
    </row>
    <row r="148" spans="1:14" s="52" customFormat="1" ht="20.25" customHeight="1">
      <c r="A148" s="53">
        <v>167</v>
      </c>
      <c r="B148" s="53">
        <v>6</v>
      </c>
      <c r="C148" s="58"/>
      <c r="D148" s="58">
        <v>44316</v>
      </c>
      <c r="E148" s="53" t="s">
        <v>22</v>
      </c>
      <c r="F148" s="53">
        <v>2</v>
      </c>
      <c r="G148" s="53">
        <v>9020</v>
      </c>
      <c r="H148" s="53">
        <v>4</v>
      </c>
      <c r="I148" s="53" t="s">
        <v>12</v>
      </c>
      <c r="J148" s="55">
        <v>9.06</v>
      </c>
      <c r="K148" s="55">
        <v>9.0299999999999994</v>
      </c>
      <c r="L148" s="54">
        <v>1</v>
      </c>
      <c r="M148" s="54"/>
      <c r="N148" s="56"/>
    </row>
    <row r="149" spans="1:14" s="52" customFormat="1" ht="20.25" customHeight="1">
      <c r="A149" s="53">
        <v>168</v>
      </c>
      <c r="B149" s="53">
        <v>6</v>
      </c>
      <c r="C149" s="58"/>
      <c r="D149" s="58">
        <v>44316</v>
      </c>
      <c r="E149" s="53" t="s">
        <v>22</v>
      </c>
      <c r="F149" s="53">
        <v>2</v>
      </c>
      <c r="G149" s="53">
        <v>9020</v>
      </c>
      <c r="H149" s="53">
        <v>4</v>
      </c>
      <c r="I149" s="53" t="s">
        <v>14</v>
      </c>
      <c r="J149" s="55">
        <v>8.0399999999999991</v>
      </c>
      <c r="K149" s="55">
        <v>8</v>
      </c>
      <c r="L149" s="54">
        <v>1</v>
      </c>
      <c r="M149" s="54"/>
      <c r="N149" s="56"/>
    </row>
    <row r="150" spans="1:14" s="57" customFormat="1" ht="20.25" customHeight="1">
      <c r="A150" s="53">
        <v>169</v>
      </c>
      <c r="B150" s="53">
        <v>6</v>
      </c>
      <c r="C150" s="58"/>
      <c r="D150" s="58">
        <v>44316</v>
      </c>
      <c r="E150" s="53" t="s">
        <v>22</v>
      </c>
      <c r="F150" s="53">
        <v>2</v>
      </c>
      <c r="G150" s="53">
        <v>9020</v>
      </c>
      <c r="H150" s="53">
        <v>6</v>
      </c>
      <c r="I150" s="53" t="s">
        <v>14</v>
      </c>
      <c r="J150" s="55">
        <v>8.06</v>
      </c>
      <c r="K150" s="55">
        <v>8.0299999999999994</v>
      </c>
      <c r="L150" s="54">
        <v>1</v>
      </c>
      <c r="M150" s="54"/>
      <c r="N150" s="56"/>
    </row>
    <row r="151" spans="1:14" s="57" customFormat="1" ht="20.25" customHeight="1">
      <c r="A151" s="53">
        <v>170</v>
      </c>
      <c r="B151" s="53">
        <v>6</v>
      </c>
      <c r="C151" s="58"/>
      <c r="D151" s="58">
        <v>44316</v>
      </c>
      <c r="E151" s="53" t="s">
        <v>22</v>
      </c>
      <c r="F151" s="53">
        <v>1</v>
      </c>
      <c r="G151" s="53">
        <v>9020</v>
      </c>
      <c r="H151" s="53">
        <v>7</v>
      </c>
      <c r="I151" s="53" t="s">
        <v>14</v>
      </c>
      <c r="J151" s="55">
        <v>8.02</v>
      </c>
      <c r="K151" s="55">
        <v>8</v>
      </c>
      <c r="L151" s="54">
        <v>1</v>
      </c>
      <c r="M151" s="54"/>
      <c r="N151" s="56"/>
    </row>
    <row r="152" spans="1:14" s="10" customFormat="1" ht="20.25" customHeight="1">
      <c r="A152" s="53">
        <v>171</v>
      </c>
      <c r="B152" s="53">
        <v>6</v>
      </c>
      <c r="C152" s="58"/>
      <c r="D152" s="58">
        <v>44316</v>
      </c>
      <c r="E152" s="53" t="s">
        <v>22</v>
      </c>
      <c r="F152" s="53">
        <v>1</v>
      </c>
      <c r="G152" s="53">
        <v>9020</v>
      </c>
      <c r="H152" s="53">
        <v>10</v>
      </c>
      <c r="I152" s="53" t="s">
        <v>12</v>
      </c>
      <c r="J152" s="55">
        <v>9.82</v>
      </c>
      <c r="K152" s="55">
        <v>9.7799999999999994</v>
      </c>
      <c r="L152" s="54">
        <v>1</v>
      </c>
      <c r="M152" s="54" t="s">
        <v>13</v>
      </c>
      <c r="N152" s="56"/>
    </row>
    <row r="153" spans="1:14" s="57" customFormat="1" ht="20.25" customHeight="1">
      <c r="A153" s="53">
        <v>172</v>
      </c>
      <c r="B153" s="53">
        <v>6</v>
      </c>
      <c r="C153" s="58"/>
      <c r="D153" s="58">
        <v>44316</v>
      </c>
      <c r="E153" s="53" t="s">
        <v>22</v>
      </c>
      <c r="F153" s="53">
        <v>2</v>
      </c>
      <c r="G153" s="53">
        <v>9020</v>
      </c>
      <c r="H153" s="53">
        <v>9</v>
      </c>
      <c r="I153" s="53" t="s">
        <v>14</v>
      </c>
      <c r="J153" s="55">
        <v>8.0399999999999991</v>
      </c>
      <c r="K153" s="55">
        <v>8</v>
      </c>
      <c r="L153" s="54">
        <v>1</v>
      </c>
      <c r="M153" s="54"/>
      <c r="N153" s="56"/>
    </row>
    <row r="154" spans="1:14" s="10" customFormat="1" ht="20.25" customHeight="1">
      <c r="A154" s="53">
        <v>173</v>
      </c>
      <c r="B154" s="53">
        <v>6</v>
      </c>
      <c r="C154" s="58"/>
      <c r="D154" s="58">
        <v>44316</v>
      </c>
      <c r="E154" s="53" t="s">
        <v>22</v>
      </c>
      <c r="F154" s="53">
        <v>1</v>
      </c>
      <c r="G154" s="53">
        <v>9021</v>
      </c>
      <c r="H154" s="53">
        <v>3</v>
      </c>
      <c r="I154" s="53" t="s">
        <v>14</v>
      </c>
      <c r="J154" s="55">
        <v>8.1300000000000008</v>
      </c>
      <c r="K154" s="55">
        <v>8.1</v>
      </c>
      <c r="L154" s="54">
        <v>1</v>
      </c>
      <c r="M154" s="54" t="s">
        <v>13</v>
      </c>
      <c r="N154" s="56"/>
    </row>
    <row r="155" spans="1:14" s="10" customFormat="1" ht="20.25" customHeight="1">
      <c r="A155" s="53">
        <v>174</v>
      </c>
      <c r="B155" s="53">
        <v>6</v>
      </c>
      <c r="C155" s="58"/>
      <c r="D155" s="58">
        <v>44316</v>
      </c>
      <c r="E155" s="53" t="s">
        <v>22</v>
      </c>
      <c r="F155" s="53">
        <v>1</v>
      </c>
      <c r="G155" s="53">
        <v>9021</v>
      </c>
      <c r="H155" s="53">
        <v>5</v>
      </c>
      <c r="I155" s="53" t="s">
        <v>14</v>
      </c>
      <c r="J155" s="55">
        <v>8.08</v>
      </c>
      <c r="K155" s="55">
        <v>8.06</v>
      </c>
      <c r="L155" s="54">
        <v>1</v>
      </c>
      <c r="M155" s="54" t="s">
        <v>13</v>
      </c>
      <c r="N155" s="56"/>
    </row>
    <row r="156" spans="1:14" s="57" customFormat="1" ht="20.25" customHeight="1">
      <c r="A156" s="53">
        <v>175</v>
      </c>
      <c r="B156" s="53">
        <v>6</v>
      </c>
      <c r="C156" s="58"/>
      <c r="D156" s="58">
        <v>44316</v>
      </c>
      <c r="E156" s="53" t="s">
        <v>22</v>
      </c>
      <c r="F156" s="53">
        <v>1</v>
      </c>
      <c r="G156" s="53">
        <v>9021</v>
      </c>
      <c r="H156" s="53">
        <v>7</v>
      </c>
      <c r="I156" s="53" t="s">
        <v>12</v>
      </c>
      <c r="J156" s="55">
        <v>8.1</v>
      </c>
      <c r="K156" s="55">
        <v>8.08</v>
      </c>
      <c r="L156" s="54">
        <v>1</v>
      </c>
      <c r="M156" s="54"/>
      <c r="N156" s="56"/>
    </row>
    <row r="157" spans="1:14" s="10" customFormat="1" ht="20.25" customHeight="1">
      <c r="A157" s="53">
        <v>176</v>
      </c>
      <c r="B157" s="53">
        <v>6</v>
      </c>
      <c r="C157" s="58"/>
      <c r="D157" s="58">
        <v>44316</v>
      </c>
      <c r="E157" s="53" t="s">
        <v>22</v>
      </c>
      <c r="F157" s="53">
        <v>1</v>
      </c>
      <c r="G157" s="53">
        <v>9021</v>
      </c>
      <c r="H157" s="53">
        <v>8</v>
      </c>
      <c r="I157" s="53" t="s">
        <v>12</v>
      </c>
      <c r="J157" s="55">
        <v>8.2200000000000006</v>
      </c>
      <c r="K157" s="55">
        <v>8.18</v>
      </c>
      <c r="L157" s="54">
        <v>1</v>
      </c>
      <c r="M157" s="54" t="s">
        <v>13</v>
      </c>
      <c r="N157" s="56"/>
    </row>
    <row r="158" spans="1:14" s="57" customFormat="1" ht="20.25" customHeight="1">
      <c r="A158" s="53">
        <v>177</v>
      </c>
      <c r="B158" s="53">
        <v>6</v>
      </c>
      <c r="C158" s="58"/>
      <c r="D158" s="58">
        <v>44316</v>
      </c>
      <c r="E158" s="53" t="s">
        <v>22</v>
      </c>
      <c r="F158" s="53">
        <v>2</v>
      </c>
      <c r="G158" s="53">
        <v>9021</v>
      </c>
      <c r="H158" s="53">
        <v>9</v>
      </c>
      <c r="I158" s="53" t="s">
        <v>12</v>
      </c>
      <c r="J158" s="55">
        <v>8.4700000000000006</v>
      </c>
      <c r="K158" s="55">
        <v>8.43</v>
      </c>
      <c r="L158" s="54">
        <v>1</v>
      </c>
      <c r="M158" s="54" t="s">
        <v>13</v>
      </c>
      <c r="N158" s="56"/>
    </row>
    <row r="159" spans="1:14" s="1" customFormat="1" ht="18" customHeight="1">
      <c r="A159" s="69" t="s">
        <v>49</v>
      </c>
      <c r="B159" s="69"/>
      <c r="C159" s="69"/>
      <c r="D159" s="69"/>
      <c r="E159" s="69"/>
      <c r="F159" s="69"/>
      <c r="G159" s="69"/>
      <c r="H159" s="69"/>
      <c r="I159" s="69"/>
      <c r="J159" s="69"/>
      <c r="K159" s="69"/>
      <c r="L159" s="69"/>
      <c r="M159" s="69"/>
      <c r="N159" s="69"/>
    </row>
    <row r="160" spans="1:14" s="10" customFormat="1" ht="37.5">
      <c r="A160" s="53">
        <v>178</v>
      </c>
      <c r="B160" s="53">
        <v>7</v>
      </c>
      <c r="C160" s="58"/>
      <c r="D160" s="60">
        <v>44306</v>
      </c>
      <c r="E160" s="53" t="s">
        <v>22</v>
      </c>
      <c r="F160" s="53">
        <v>1</v>
      </c>
      <c r="G160" s="53">
        <v>9022</v>
      </c>
      <c r="H160" s="53">
        <v>1</v>
      </c>
      <c r="I160" s="53" t="s">
        <v>12</v>
      </c>
      <c r="J160" s="55">
        <v>8.0399999999999991</v>
      </c>
      <c r="K160" s="55">
        <v>8</v>
      </c>
      <c r="L160" s="54">
        <v>1</v>
      </c>
      <c r="M160" s="54"/>
      <c r="N160" s="56"/>
    </row>
    <row r="161" spans="1:14" s="57" customFormat="1" ht="37.5">
      <c r="A161" s="53">
        <v>186</v>
      </c>
      <c r="B161" s="53">
        <v>7</v>
      </c>
      <c r="C161" s="58"/>
      <c r="D161" s="60">
        <v>44316</v>
      </c>
      <c r="E161" s="53" t="s">
        <v>22</v>
      </c>
      <c r="F161" s="53">
        <v>1</v>
      </c>
      <c r="G161" s="53">
        <v>9024</v>
      </c>
      <c r="H161" s="53">
        <v>8</v>
      </c>
      <c r="I161" s="53" t="s">
        <v>12</v>
      </c>
      <c r="J161" s="55">
        <v>8.34</v>
      </c>
      <c r="K161" s="55">
        <v>8.31</v>
      </c>
      <c r="L161" s="54">
        <v>1</v>
      </c>
      <c r="M161" s="54"/>
      <c r="N161" s="56"/>
    </row>
    <row r="162" spans="1:14" s="52" customFormat="1" ht="37.5">
      <c r="A162" s="53">
        <v>191</v>
      </c>
      <c r="B162" s="53">
        <v>7</v>
      </c>
      <c r="C162" s="58"/>
      <c r="D162" s="60">
        <v>44306</v>
      </c>
      <c r="E162" s="53" t="s">
        <v>22</v>
      </c>
      <c r="F162" s="53">
        <v>2</v>
      </c>
      <c r="G162" s="53">
        <v>9028</v>
      </c>
      <c r="H162" s="53">
        <v>8</v>
      </c>
      <c r="I162" s="53" t="s">
        <v>14</v>
      </c>
      <c r="J162" s="55">
        <v>8.14</v>
      </c>
      <c r="K162" s="55">
        <v>8.1</v>
      </c>
      <c r="L162" s="54">
        <v>1</v>
      </c>
      <c r="M162" s="54"/>
      <c r="N162" s="56"/>
    </row>
    <row r="163" spans="1:14" s="52" customFormat="1" ht="37.5">
      <c r="A163" s="53">
        <v>192</v>
      </c>
      <c r="B163" s="53">
        <v>7</v>
      </c>
      <c r="C163" s="58"/>
      <c r="D163" s="60">
        <v>44296</v>
      </c>
      <c r="E163" s="53" t="s">
        <v>22</v>
      </c>
      <c r="F163" s="53">
        <v>2</v>
      </c>
      <c r="G163" s="53">
        <v>9029</v>
      </c>
      <c r="H163" s="53">
        <v>7</v>
      </c>
      <c r="I163" s="53" t="s">
        <v>12</v>
      </c>
      <c r="J163" s="55">
        <v>8.0399999999999991</v>
      </c>
      <c r="K163" s="55">
        <v>8</v>
      </c>
      <c r="L163" s="54">
        <v>1</v>
      </c>
      <c r="M163" s="54"/>
      <c r="N163" s="56"/>
    </row>
    <row r="164" spans="1:14" s="10" customFormat="1" ht="37.5">
      <c r="A164" s="53">
        <v>194</v>
      </c>
      <c r="B164" s="53">
        <v>7</v>
      </c>
      <c r="C164" s="58"/>
      <c r="D164" s="60">
        <v>44296</v>
      </c>
      <c r="E164" s="53" t="s">
        <v>22</v>
      </c>
      <c r="F164" s="53">
        <v>2</v>
      </c>
      <c r="G164" s="53">
        <v>9030</v>
      </c>
      <c r="H164" s="53">
        <v>9</v>
      </c>
      <c r="I164" s="53" t="s">
        <v>12</v>
      </c>
      <c r="J164" s="55">
        <v>8.0399999999999991</v>
      </c>
      <c r="K164" s="55">
        <v>8</v>
      </c>
      <c r="L164" s="54">
        <v>1</v>
      </c>
      <c r="M164" s="54"/>
      <c r="N164" s="56"/>
    </row>
    <row r="165" spans="1:14" s="57" customFormat="1" ht="37.5">
      <c r="A165" s="53">
        <v>198</v>
      </c>
      <c r="B165" s="53">
        <v>7</v>
      </c>
      <c r="C165" s="58"/>
      <c r="D165" s="60">
        <v>44296</v>
      </c>
      <c r="E165" s="53" t="s">
        <v>22</v>
      </c>
      <c r="F165" s="53">
        <v>2</v>
      </c>
      <c r="G165" s="53">
        <v>9031</v>
      </c>
      <c r="H165" s="53">
        <v>8</v>
      </c>
      <c r="I165" s="53" t="s">
        <v>12</v>
      </c>
      <c r="J165" s="55">
        <v>8.06</v>
      </c>
      <c r="K165" s="55">
        <v>8.0399999999999991</v>
      </c>
      <c r="L165" s="54">
        <v>1</v>
      </c>
      <c r="M165" s="54"/>
      <c r="N165" s="56"/>
    </row>
    <row r="166" spans="1:14" s="57" customFormat="1" ht="37.5">
      <c r="A166" s="53">
        <v>201</v>
      </c>
      <c r="B166" s="53">
        <v>7</v>
      </c>
      <c r="C166" s="58"/>
      <c r="D166" s="60">
        <v>44301</v>
      </c>
      <c r="E166" s="53" t="s">
        <v>22</v>
      </c>
      <c r="F166" s="53">
        <v>2</v>
      </c>
      <c r="G166" s="53">
        <v>9032</v>
      </c>
      <c r="H166" s="53">
        <v>10</v>
      </c>
      <c r="I166" s="53" t="s">
        <v>12</v>
      </c>
      <c r="J166" s="55">
        <v>8.39</v>
      </c>
      <c r="K166" s="55">
        <v>8.35</v>
      </c>
      <c r="L166" s="54">
        <v>1</v>
      </c>
      <c r="M166" s="54"/>
      <c r="N166" s="56"/>
    </row>
    <row r="167" spans="1:14" s="57" customFormat="1" ht="37.5">
      <c r="A167" s="53">
        <v>202</v>
      </c>
      <c r="B167" s="53">
        <v>7</v>
      </c>
      <c r="C167" s="58"/>
      <c r="D167" s="60">
        <v>44301</v>
      </c>
      <c r="E167" s="53" t="s">
        <v>22</v>
      </c>
      <c r="F167" s="53">
        <v>2</v>
      </c>
      <c r="G167" s="53">
        <v>9033</v>
      </c>
      <c r="H167" s="53">
        <v>5</v>
      </c>
      <c r="I167" s="53" t="s">
        <v>12</v>
      </c>
      <c r="J167" s="55">
        <v>10.07</v>
      </c>
      <c r="K167" s="55">
        <v>10.039999999999999</v>
      </c>
      <c r="L167" s="54">
        <v>1</v>
      </c>
      <c r="M167" s="54" t="s">
        <v>13</v>
      </c>
      <c r="N167" s="56"/>
    </row>
    <row r="168" spans="1:14" s="57" customFormat="1" ht="37.5">
      <c r="A168" s="53">
        <v>203</v>
      </c>
      <c r="B168" s="53">
        <v>7</v>
      </c>
      <c r="C168" s="58"/>
      <c r="D168" s="60">
        <v>44301</v>
      </c>
      <c r="E168" s="53" t="s">
        <v>22</v>
      </c>
      <c r="F168" s="53">
        <v>2</v>
      </c>
      <c r="G168" s="53">
        <v>9033</v>
      </c>
      <c r="H168" s="53">
        <v>7</v>
      </c>
      <c r="I168" s="53" t="s">
        <v>12</v>
      </c>
      <c r="J168" s="55">
        <v>8.7200000000000006</v>
      </c>
      <c r="K168" s="55">
        <v>8.69</v>
      </c>
      <c r="L168" s="54">
        <v>1</v>
      </c>
      <c r="M168" s="54" t="s">
        <v>13</v>
      </c>
      <c r="N168" s="56"/>
    </row>
    <row r="169" spans="1:14" s="1" customFormat="1" ht="18" customHeight="1">
      <c r="A169" s="69" t="s">
        <v>50</v>
      </c>
      <c r="B169" s="69"/>
      <c r="C169" s="69"/>
      <c r="D169" s="69"/>
      <c r="E169" s="69"/>
      <c r="F169" s="69"/>
      <c r="G169" s="69"/>
      <c r="H169" s="69"/>
      <c r="I169" s="69"/>
      <c r="J169" s="69"/>
      <c r="K169" s="69"/>
      <c r="L169" s="69"/>
      <c r="M169" s="69"/>
      <c r="N169" s="69"/>
    </row>
    <row r="170" spans="1:14" s="57" customFormat="1" ht="20.25" customHeight="1">
      <c r="A170" s="53">
        <v>220</v>
      </c>
      <c r="B170" s="53">
        <v>9</v>
      </c>
      <c r="C170" s="58"/>
      <c r="D170" s="58">
        <v>44295</v>
      </c>
      <c r="E170" s="53" t="s">
        <v>23</v>
      </c>
      <c r="F170" s="53">
        <v>1</v>
      </c>
      <c r="G170" s="53">
        <v>9046</v>
      </c>
      <c r="H170" s="53">
        <v>7</v>
      </c>
      <c r="I170" s="53" t="s">
        <v>14</v>
      </c>
      <c r="J170" s="55">
        <v>8.2100000000000009</v>
      </c>
      <c r="K170" s="55">
        <v>8.18</v>
      </c>
      <c r="L170" s="54">
        <v>1</v>
      </c>
      <c r="M170" s="54"/>
      <c r="N170" s="56"/>
    </row>
    <row r="171" spans="1:14" s="10" customFormat="1" ht="20.25">
      <c r="A171" s="53">
        <v>223</v>
      </c>
      <c r="B171" s="53">
        <v>9</v>
      </c>
      <c r="C171" s="58"/>
      <c r="D171" s="58">
        <v>44295</v>
      </c>
      <c r="E171" s="53" t="s">
        <v>23</v>
      </c>
      <c r="F171" s="53">
        <v>2</v>
      </c>
      <c r="G171" s="53">
        <v>9048</v>
      </c>
      <c r="H171" s="53">
        <v>3</v>
      </c>
      <c r="I171" s="53" t="s">
        <v>14</v>
      </c>
      <c r="J171" s="55">
        <v>12.54</v>
      </c>
      <c r="K171" s="55">
        <v>12.5</v>
      </c>
      <c r="L171" s="54"/>
      <c r="M171" s="54">
        <v>1</v>
      </c>
      <c r="N171" s="56"/>
    </row>
    <row r="172" spans="1:14" s="10" customFormat="1" ht="20.25">
      <c r="A172" s="53">
        <v>224</v>
      </c>
      <c r="B172" s="53">
        <v>9</v>
      </c>
      <c r="C172" s="58"/>
      <c r="D172" s="58">
        <v>44295</v>
      </c>
      <c r="E172" s="53" t="s">
        <v>23</v>
      </c>
      <c r="F172" s="53">
        <v>2</v>
      </c>
      <c r="G172" s="53">
        <v>9048</v>
      </c>
      <c r="H172" s="53">
        <v>3</v>
      </c>
      <c r="I172" s="53" t="s">
        <v>12</v>
      </c>
      <c r="J172" s="55">
        <v>12.54</v>
      </c>
      <c r="K172" s="55">
        <v>12.5</v>
      </c>
      <c r="L172" s="54"/>
      <c r="M172" s="54">
        <v>1</v>
      </c>
      <c r="N172" s="56"/>
    </row>
    <row r="173" spans="1:14" s="57" customFormat="1" ht="20.25">
      <c r="A173" s="53">
        <v>228</v>
      </c>
      <c r="B173" s="53">
        <v>9</v>
      </c>
      <c r="C173" s="58"/>
      <c r="D173" s="58">
        <v>44298</v>
      </c>
      <c r="E173" s="53" t="s">
        <v>23</v>
      </c>
      <c r="F173" s="53">
        <v>2</v>
      </c>
      <c r="G173" s="53">
        <v>9048</v>
      </c>
      <c r="H173" s="53">
        <v>6</v>
      </c>
      <c r="I173" s="53" t="s">
        <v>12</v>
      </c>
      <c r="J173" s="55">
        <v>9.33</v>
      </c>
      <c r="K173" s="55">
        <v>9.27</v>
      </c>
      <c r="L173" s="54"/>
      <c r="M173" s="54">
        <v>1</v>
      </c>
      <c r="N173" s="56"/>
    </row>
    <row r="174" spans="1:14" s="10" customFormat="1" ht="20.25">
      <c r="A174" s="53">
        <v>229</v>
      </c>
      <c r="B174" s="53">
        <v>9</v>
      </c>
      <c r="C174" s="58"/>
      <c r="D174" s="58">
        <v>44298</v>
      </c>
      <c r="E174" s="53" t="s">
        <v>23</v>
      </c>
      <c r="F174" s="53">
        <v>2</v>
      </c>
      <c r="G174" s="53">
        <v>9048</v>
      </c>
      <c r="H174" s="53">
        <v>6</v>
      </c>
      <c r="I174" s="53" t="s">
        <v>14</v>
      </c>
      <c r="J174" s="55">
        <v>12.56</v>
      </c>
      <c r="K174" s="55">
        <v>12.5</v>
      </c>
      <c r="L174" s="54" t="s">
        <v>13</v>
      </c>
      <c r="M174" s="54">
        <v>1</v>
      </c>
      <c r="N174" s="56"/>
    </row>
    <row r="175" spans="1:14" s="57" customFormat="1" ht="20.25">
      <c r="A175" s="53">
        <v>233</v>
      </c>
      <c r="B175" s="53">
        <v>9</v>
      </c>
      <c r="C175" s="58"/>
      <c r="D175" s="58">
        <v>44302</v>
      </c>
      <c r="E175" s="53" t="s">
        <v>23</v>
      </c>
      <c r="F175" s="53">
        <v>2</v>
      </c>
      <c r="G175" s="53">
        <v>9049</v>
      </c>
      <c r="H175" s="53">
        <v>3</v>
      </c>
      <c r="I175" s="53" t="s">
        <v>12</v>
      </c>
      <c r="J175" s="55">
        <v>12.58</v>
      </c>
      <c r="K175" s="55">
        <v>12.54</v>
      </c>
      <c r="L175" s="54"/>
      <c r="M175" s="54">
        <v>1</v>
      </c>
      <c r="N175" s="56"/>
    </row>
    <row r="176" spans="1:14" s="57" customFormat="1" ht="20.25">
      <c r="A176" s="53">
        <v>234</v>
      </c>
      <c r="B176" s="53">
        <v>9</v>
      </c>
      <c r="C176" s="58"/>
      <c r="D176" s="58">
        <v>44301</v>
      </c>
      <c r="E176" s="53" t="s">
        <v>23</v>
      </c>
      <c r="F176" s="53">
        <v>2</v>
      </c>
      <c r="G176" s="53">
        <v>9049</v>
      </c>
      <c r="H176" s="53">
        <v>8</v>
      </c>
      <c r="I176" s="53" t="s">
        <v>12</v>
      </c>
      <c r="J176" s="55">
        <v>8.31</v>
      </c>
      <c r="K176" s="55">
        <v>8.2799999999999994</v>
      </c>
      <c r="L176" s="54"/>
      <c r="M176" s="54">
        <v>1</v>
      </c>
      <c r="N176" s="56"/>
    </row>
    <row r="177" spans="1:14" s="57" customFormat="1" ht="20.25">
      <c r="A177" s="53">
        <v>235</v>
      </c>
      <c r="B177" s="53">
        <v>9</v>
      </c>
      <c r="C177" s="58"/>
      <c r="D177" s="58">
        <v>44301</v>
      </c>
      <c r="E177" s="53" t="s">
        <v>23</v>
      </c>
      <c r="F177" s="53">
        <v>2</v>
      </c>
      <c r="G177" s="53">
        <v>9049</v>
      </c>
      <c r="H177" s="53">
        <v>8</v>
      </c>
      <c r="I177" s="53" t="s">
        <v>12</v>
      </c>
      <c r="J177" s="55">
        <v>8.5399999999999991</v>
      </c>
      <c r="K177" s="55">
        <v>8.5</v>
      </c>
      <c r="L177" s="54">
        <v>1</v>
      </c>
      <c r="M177" s="54"/>
      <c r="N177" s="56"/>
    </row>
    <row r="178" spans="1:14" s="57" customFormat="1" ht="20.25">
      <c r="A178" s="53">
        <v>236</v>
      </c>
      <c r="B178" s="53">
        <v>9</v>
      </c>
      <c r="C178" s="58"/>
      <c r="D178" s="58">
        <v>44301</v>
      </c>
      <c r="E178" s="53" t="s">
        <v>23</v>
      </c>
      <c r="F178" s="53">
        <v>2</v>
      </c>
      <c r="G178" s="53">
        <v>9049</v>
      </c>
      <c r="H178" s="53">
        <v>9</v>
      </c>
      <c r="I178" s="53" t="s">
        <v>12</v>
      </c>
      <c r="J178" s="55">
        <v>8.1199999999999992</v>
      </c>
      <c r="K178" s="55">
        <v>8.1</v>
      </c>
      <c r="L178" s="54">
        <v>1</v>
      </c>
      <c r="M178" s="54"/>
      <c r="N178" s="56"/>
    </row>
    <row r="179" spans="1:14" s="1" customFormat="1" ht="18" customHeight="1">
      <c r="A179" s="69" t="s">
        <v>51</v>
      </c>
      <c r="B179" s="69"/>
      <c r="C179" s="69"/>
      <c r="D179" s="69"/>
      <c r="E179" s="69"/>
      <c r="F179" s="69"/>
      <c r="G179" s="69"/>
      <c r="H179" s="69"/>
      <c r="I179" s="69"/>
      <c r="J179" s="69"/>
      <c r="K179" s="69"/>
      <c r="L179" s="69"/>
      <c r="M179" s="69"/>
      <c r="N179" s="69"/>
    </row>
    <row r="180" spans="1:14" s="10" customFormat="1" ht="18.75" customHeight="1">
      <c r="A180" s="53">
        <v>244</v>
      </c>
      <c r="B180" s="53">
        <v>10</v>
      </c>
      <c r="C180" s="58"/>
      <c r="D180" s="60">
        <v>44301</v>
      </c>
      <c r="E180" s="53" t="s">
        <v>24</v>
      </c>
      <c r="F180" s="53">
        <v>2</v>
      </c>
      <c r="G180" s="53">
        <v>9055</v>
      </c>
      <c r="H180" s="53">
        <v>9</v>
      </c>
      <c r="I180" s="53" t="s">
        <v>12</v>
      </c>
      <c r="J180" s="55">
        <v>12.54</v>
      </c>
      <c r="K180" s="55">
        <v>12.5</v>
      </c>
      <c r="L180" s="54" t="s">
        <v>13</v>
      </c>
      <c r="M180" s="54">
        <v>1</v>
      </c>
      <c r="N180" s="56"/>
    </row>
    <row r="181" spans="1:14" s="57" customFormat="1" ht="18.75" customHeight="1">
      <c r="A181" s="53">
        <v>245</v>
      </c>
      <c r="B181" s="53">
        <v>10</v>
      </c>
      <c r="C181" s="58"/>
      <c r="D181" s="60">
        <v>44301</v>
      </c>
      <c r="E181" s="53" t="s">
        <v>24</v>
      </c>
      <c r="F181" s="53">
        <v>2</v>
      </c>
      <c r="G181" s="53">
        <v>9055</v>
      </c>
      <c r="H181" s="53">
        <v>9</v>
      </c>
      <c r="I181" s="53" t="s">
        <v>14</v>
      </c>
      <c r="J181" s="55">
        <v>12.54</v>
      </c>
      <c r="K181" s="55">
        <v>12.5</v>
      </c>
      <c r="L181" s="54"/>
      <c r="M181" s="54">
        <v>1</v>
      </c>
      <c r="N181" s="56"/>
    </row>
    <row r="182" spans="1:14" s="57" customFormat="1" ht="18.75" customHeight="1">
      <c r="A182" s="53">
        <v>248</v>
      </c>
      <c r="B182" s="53">
        <v>10</v>
      </c>
      <c r="C182" s="58"/>
      <c r="D182" s="58">
        <v>44301</v>
      </c>
      <c r="E182" s="53" t="s">
        <v>24</v>
      </c>
      <c r="F182" s="53">
        <v>2</v>
      </c>
      <c r="G182" s="53">
        <v>9056</v>
      </c>
      <c r="H182" s="53">
        <v>4</v>
      </c>
      <c r="I182" s="53" t="s">
        <v>14</v>
      </c>
      <c r="J182" s="55">
        <v>8.4499999999999993</v>
      </c>
      <c r="K182" s="55">
        <v>8.4</v>
      </c>
      <c r="L182" s="54">
        <v>1</v>
      </c>
      <c r="M182" s="54"/>
      <c r="N182" s="56"/>
    </row>
    <row r="183" spans="1:14" s="57" customFormat="1" ht="18.75" customHeight="1">
      <c r="A183" s="53">
        <v>249</v>
      </c>
      <c r="B183" s="53">
        <v>10</v>
      </c>
      <c r="C183" s="58"/>
      <c r="D183" s="60">
        <v>44304</v>
      </c>
      <c r="E183" s="53" t="s">
        <v>24</v>
      </c>
      <c r="F183" s="53">
        <v>2</v>
      </c>
      <c r="G183" s="53">
        <v>9057</v>
      </c>
      <c r="H183" s="53">
        <v>3</v>
      </c>
      <c r="I183" s="53" t="s">
        <v>14</v>
      </c>
      <c r="J183" s="55">
        <v>12.52</v>
      </c>
      <c r="K183" s="55">
        <v>12.5</v>
      </c>
      <c r="L183" s="54"/>
      <c r="M183" s="54">
        <v>1</v>
      </c>
      <c r="N183" s="56"/>
    </row>
    <row r="184" spans="1:14" s="10" customFormat="1" ht="20.25">
      <c r="A184" s="53">
        <v>250</v>
      </c>
      <c r="B184" s="53">
        <v>10</v>
      </c>
      <c r="C184" s="58"/>
      <c r="D184" s="60">
        <v>44304</v>
      </c>
      <c r="E184" s="53" t="s">
        <v>24</v>
      </c>
      <c r="F184" s="53">
        <v>2</v>
      </c>
      <c r="G184" s="53">
        <v>9057</v>
      </c>
      <c r="H184" s="53">
        <v>4</v>
      </c>
      <c r="I184" s="53" t="s">
        <v>12</v>
      </c>
      <c r="J184" s="55">
        <v>12.54</v>
      </c>
      <c r="K184" s="55">
        <v>12.52</v>
      </c>
      <c r="L184" s="54"/>
      <c r="M184" s="54">
        <v>1</v>
      </c>
      <c r="N184" s="56"/>
    </row>
    <row r="185" spans="1:14" s="10" customFormat="1" ht="20.25">
      <c r="A185" s="53">
        <v>251</v>
      </c>
      <c r="B185" s="53">
        <v>10</v>
      </c>
      <c r="C185" s="58"/>
      <c r="D185" s="60">
        <v>44314</v>
      </c>
      <c r="E185" s="53" t="s">
        <v>24</v>
      </c>
      <c r="F185" s="53">
        <v>1</v>
      </c>
      <c r="G185" s="53">
        <v>9057</v>
      </c>
      <c r="H185" s="53">
        <v>4</v>
      </c>
      <c r="I185" s="53" t="s">
        <v>12</v>
      </c>
      <c r="J185" s="55">
        <v>12.54</v>
      </c>
      <c r="K185" s="55">
        <v>12.5</v>
      </c>
      <c r="L185" s="54" t="s">
        <v>13</v>
      </c>
      <c r="M185" s="54">
        <v>1</v>
      </c>
      <c r="N185" s="56"/>
    </row>
    <row r="186" spans="1:14" s="10" customFormat="1" ht="20.25">
      <c r="A186" s="53">
        <v>252</v>
      </c>
      <c r="B186" s="53">
        <v>10</v>
      </c>
      <c r="C186" s="58"/>
      <c r="D186" s="60">
        <v>44314</v>
      </c>
      <c r="E186" s="53" t="s">
        <v>24</v>
      </c>
      <c r="F186" s="53">
        <v>1</v>
      </c>
      <c r="G186" s="53">
        <v>9057</v>
      </c>
      <c r="H186" s="53">
        <v>4</v>
      </c>
      <c r="I186" s="53" t="s">
        <v>14</v>
      </c>
      <c r="J186" s="55">
        <v>12.54</v>
      </c>
      <c r="K186" s="55">
        <v>12.5</v>
      </c>
      <c r="L186" s="54" t="s">
        <v>13</v>
      </c>
      <c r="M186" s="54">
        <v>1</v>
      </c>
      <c r="N186" s="56"/>
    </row>
    <row r="187" spans="1:14" s="1" customFormat="1" ht="18" customHeight="1">
      <c r="A187" s="69" t="s">
        <v>52</v>
      </c>
      <c r="B187" s="69"/>
      <c r="C187" s="69"/>
      <c r="D187" s="69"/>
      <c r="E187" s="69"/>
      <c r="F187" s="69"/>
      <c r="G187" s="69"/>
      <c r="H187" s="69"/>
      <c r="I187" s="69"/>
      <c r="J187" s="69"/>
      <c r="K187" s="69"/>
      <c r="L187" s="69"/>
      <c r="M187" s="69"/>
      <c r="N187" s="69"/>
    </row>
    <row r="188" spans="1:14" s="10" customFormat="1" ht="20.25">
      <c r="A188" s="53">
        <v>259</v>
      </c>
      <c r="B188" s="53">
        <v>11</v>
      </c>
      <c r="C188" s="58"/>
      <c r="D188" s="60">
        <v>44306</v>
      </c>
      <c r="E188" s="53" t="s">
        <v>25</v>
      </c>
      <c r="F188" s="53">
        <v>1</v>
      </c>
      <c r="G188" s="53">
        <v>9059</v>
      </c>
      <c r="H188" s="53">
        <v>1</v>
      </c>
      <c r="I188" s="53" t="s">
        <v>12</v>
      </c>
      <c r="J188" s="55">
        <v>8.49</v>
      </c>
      <c r="K188" s="55">
        <v>8.4499999999999993</v>
      </c>
      <c r="L188" s="54">
        <v>1</v>
      </c>
      <c r="M188" s="54"/>
      <c r="N188" s="56"/>
    </row>
    <row r="189" spans="1:14" s="10" customFormat="1" ht="20.25">
      <c r="A189" s="53">
        <v>260</v>
      </c>
      <c r="B189" s="53">
        <v>11</v>
      </c>
      <c r="C189" s="58"/>
      <c r="D189" s="60">
        <v>44306</v>
      </c>
      <c r="E189" s="53" t="s">
        <v>25</v>
      </c>
      <c r="F189" s="53">
        <v>1</v>
      </c>
      <c r="G189" s="53">
        <v>9059</v>
      </c>
      <c r="H189" s="53">
        <v>2</v>
      </c>
      <c r="I189" s="53" t="s">
        <v>14</v>
      </c>
      <c r="J189" s="55">
        <v>12.56</v>
      </c>
      <c r="K189" s="55">
        <v>12.54</v>
      </c>
      <c r="L189" s="54">
        <v>1</v>
      </c>
      <c r="M189" s="54"/>
      <c r="N189" s="56"/>
    </row>
    <row r="190" spans="1:14" s="57" customFormat="1" ht="20.25">
      <c r="A190" s="53">
        <v>261</v>
      </c>
      <c r="B190" s="53">
        <v>11</v>
      </c>
      <c r="C190" s="58"/>
      <c r="D190" s="60">
        <v>44305</v>
      </c>
      <c r="E190" s="53" t="s">
        <v>25</v>
      </c>
      <c r="F190" s="53">
        <v>2</v>
      </c>
      <c r="G190" s="53">
        <v>9060</v>
      </c>
      <c r="H190" s="53">
        <v>2</v>
      </c>
      <c r="I190" s="53" t="s">
        <v>14</v>
      </c>
      <c r="J190" s="55">
        <v>8.3000000000000007</v>
      </c>
      <c r="K190" s="55">
        <v>8.27</v>
      </c>
      <c r="L190" s="54">
        <v>1</v>
      </c>
      <c r="M190" s="54"/>
      <c r="N190" s="56"/>
    </row>
    <row r="191" spans="1:14" s="10" customFormat="1" ht="20.25">
      <c r="A191" s="53">
        <v>262</v>
      </c>
      <c r="B191" s="53">
        <v>11</v>
      </c>
      <c r="C191" s="58"/>
      <c r="D191" s="60">
        <v>44306</v>
      </c>
      <c r="E191" s="53" t="s">
        <v>25</v>
      </c>
      <c r="F191" s="53">
        <v>1</v>
      </c>
      <c r="G191" s="53">
        <v>9060</v>
      </c>
      <c r="H191" s="53">
        <v>6</v>
      </c>
      <c r="I191" s="53" t="s">
        <v>12</v>
      </c>
      <c r="J191" s="55">
        <v>8.07</v>
      </c>
      <c r="K191" s="55">
        <v>8.0399999999999991</v>
      </c>
      <c r="L191" s="54">
        <v>1</v>
      </c>
      <c r="M191" s="54" t="s">
        <v>13</v>
      </c>
      <c r="N191" s="56"/>
    </row>
    <row r="192" spans="1:14" s="10" customFormat="1" ht="20.25">
      <c r="A192" s="53">
        <v>264</v>
      </c>
      <c r="B192" s="53">
        <v>11</v>
      </c>
      <c r="C192" s="58"/>
      <c r="D192" s="60">
        <v>44316</v>
      </c>
      <c r="E192" s="53" t="s">
        <v>25</v>
      </c>
      <c r="F192" s="53">
        <v>1</v>
      </c>
      <c r="G192" s="53">
        <v>9064</v>
      </c>
      <c r="H192" s="53">
        <v>5</v>
      </c>
      <c r="I192" s="53" t="s">
        <v>12</v>
      </c>
      <c r="J192" s="55">
        <v>11</v>
      </c>
      <c r="K192" s="55">
        <v>10.95</v>
      </c>
      <c r="L192" s="54">
        <v>1</v>
      </c>
      <c r="M192" s="54" t="s">
        <v>13</v>
      </c>
      <c r="N192" s="56"/>
    </row>
    <row r="193" spans="1:14" s="10" customFormat="1" ht="20.25">
      <c r="A193" s="53">
        <v>266</v>
      </c>
      <c r="B193" s="53">
        <v>11</v>
      </c>
      <c r="C193" s="58"/>
      <c r="D193" s="60">
        <v>44319</v>
      </c>
      <c r="E193" s="53" t="s">
        <v>26</v>
      </c>
      <c r="F193" s="53">
        <v>1</v>
      </c>
      <c r="G193" s="53">
        <v>9066</v>
      </c>
      <c r="H193" s="53">
        <v>8</v>
      </c>
      <c r="I193" s="53" t="s">
        <v>14</v>
      </c>
      <c r="J193" s="55">
        <v>12.55</v>
      </c>
      <c r="K193" s="55">
        <v>12.5</v>
      </c>
      <c r="L193" s="54" t="s">
        <v>13</v>
      </c>
      <c r="M193" s="54">
        <v>1</v>
      </c>
      <c r="N193" s="56"/>
    </row>
    <row r="194" spans="1:14" s="10" customFormat="1" ht="20.25">
      <c r="A194" s="53">
        <v>267</v>
      </c>
      <c r="B194" s="53">
        <v>11</v>
      </c>
      <c r="C194" s="58"/>
      <c r="D194" s="60">
        <v>44319</v>
      </c>
      <c r="E194" s="53" t="s">
        <v>26</v>
      </c>
      <c r="F194" s="53">
        <v>1</v>
      </c>
      <c r="G194" s="53">
        <v>9066</v>
      </c>
      <c r="H194" s="53">
        <v>9</v>
      </c>
      <c r="I194" s="53" t="s">
        <v>12</v>
      </c>
      <c r="J194" s="55">
        <v>12.54</v>
      </c>
      <c r="K194" s="55">
        <v>12.5</v>
      </c>
      <c r="L194" s="54" t="s">
        <v>13</v>
      </c>
      <c r="M194" s="54">
        <v>1</v>
      </c>
      <c r="N194" s="56"/>
    </row>
    <row r="195" spans="1:14" s="57" customFormat="1" ht="20.25">
      <c r="A195" s="53">
        <v>268</v>
      </c>
      <c r="B195" s="53">
        <v>11</v>
      </c>
      <c r="C195" s="58"/>
      <c r="D195" s="60">
        <v>44281</v>
      </c>
      <c r="E195" s="53" t="s">
        <v>26</v>
      </c>
      <c r="F195" s="53">
        <v>1</v>
      </c>
      <c r="G195" s="53">
        <v>9067</v>
      </c>
      <c r="H195" s="53">
        <v>2</v>
      </c>
      <c r="I195" s="53" t="s">
        <v>14</v>
      </c>
      <c r="J195" s="55">
        <v>12.55</v>
      </c>
      <c r="K195" s="55">
        <v>12.5</v>
      </c>
      <c r="L195" s="54"/>
      <c r="M195" s="54">
        <v>1</v>
      </c>
      <c r="N195" s="56"/>
    </row>
    <row r="196" spans="1:14" s="57" customFormat="1" ht="20.25">
      <c r="A196" s="53">
        <v>270</v>
      </c>
      <c r="B196" s="53">
        <v>11</v>
      </c>
      <c r="C196" s="58"/>
      <c r="D196" s="60">
        <v>44319</v>
      </c>
      <c r="E196" s="53" t="s">
        <v>26</v>
      </c>
      <c r="F196" s="53">
        <v>1</v>
      </c>
      <c r="G196" s="53">
        <v>9067</v>
      </c>
      <c r="H196" s="53">
        <v>5</v>
      </c>
      <c r="I196" s="53" t="s">
        <v>12</v>
      </c>
      <c r="J196" s="55">
        <v>8.1999999999999993</v>
      </c>
      <c r="K196" s="55">
        <v>8.16</v>
      </c>
      <c r="L196" s="54"/>
      <c r="M196" s="54">
        <v>1</v>
      </c>
      <c r="N196" s="56"/>
    </row>
    <row r="197" spans="1:14" s="52" customFormat="1" ht="20.25">
      <c r="A197" s="53">
        <v>272</v>
      </c>
      <c r="B197" s="53">
        <v>11</v>
      </c>
      <c r="C197" s="58"/>
      <c r="D197" s="60">
        <v>44310</v>
      </c>
      <c r="E197" s="53" t="s">
        <v>26</v>
      </c>
      <c r="F197" s="53">
        <v>2</v>
      </c>
      <c r="G197" s="53">
        <v>9068</v>
      </c>
      <c r="H197" s="53">
        <v>6</v>
      </c>
      <c r="I197" s="53" t="s">
        <v>14</v>
      </c>
      <c r="J197" s="55">
        <v>12.55</v>
      </c>
      <c r="K197" s="55">
        <v>12.5</v>
      </c>
      <c r="L197" s="54" t="s">
        <v>13</v>
      </c>
      <c r="M197" s="54">
        <v>1</v>
      </c>
      <c r="N197" s="56"/>
    </row>
    <row r="198" spans="1:14" s="10" customFormat="1" ht="20.25">
      <c r="A198" s="53">
        <v>274</v>
      </c>
      <c r="B198" s="53">
        <v>11</v>
      </c>
      <c r="C198" s="58"/>
      <c r="D198" s="60">
        <v>44319</v>
      </c>
      <c r="E198" s="53" t="s">
        <v>26</v>
      </c>
      <c r="F198" s="53">
        <v>1</v>
      </c>
      <c r="G198" s="53">
        <v>9068</v>
      </c>
      <c r="H198" s="53">
        <v>7</v>
      </c>
      <c r="I198" s="53" t="s">
        <v>14</v>
      </c>
      <c r="J198" s="55">
        <v>12.54</v>
      </c>
      <c r="K198" s="55">
        <v>12.5</v>
      </c>
      <c r="L198" s="54"/>
      <c r="M198" s="54">
        <v>1</v>
      </c>
      <c r="N198" s="56"/>
    </row>
    <row r="199" spans="1:14" s="1" customFormat="1" ht="18" customHeight="1">
      <c r="A199" s="66" t="s">
        <v>53</v>
      </c>
      <c r="B199" s="67"/>
      <c r="C199" s="67"/>
      <c r="D199" s="67"/>
      <c r="E199" s="67"/>
      <c r="F199" s="67"/>
      <c r="G199" s="67"/>
      <c r="H199" s="67"/>
      <c r="I199" s="67"/>
      <c r="J199" s="67"/>
      <c r="K199" s="67"/>
      <c r="L199" s="67"/>
      <c r="M199" s="67"/>
      <c r="N199" s="67"/>
    </row>
    <row r="200" spans="1:14" s="10" customFormat="1" ht="20.25">
      <c r="A200" s="53">
        <v>275</v>
      </c>
      <c r="B200" s="53">
        <v>12</v>
      </c>
      <c r="C200" s="58"/>
      <c r="D200" s="58">
        <v>44292</v>
      </c>
      <c r="E200" s="53" t="s">
        <v>27</v>
      </c>
      <c r="F200" s="53">
        <v>1</v>
      </c>
      <c r="G200" s="53">
        <v>9069</v>
      </c>
      <c r="H200" s="53">
        <v>4</v>
      </c>
      <c r="I200" s="53" t="s">
        <v>12</v>
      </c>
      <c r="J200" s="55">
        <v>8.4600000000000009</v>
      </c>
      <c r="K200" s="55">
        <v>8.42</v>
      </c>
      <c r="L200" s="54">
        <v>1</v>
      </c>
      <c r="M200" s="54" t="s">
        <v>13</v>
      </c>
      <c r="N200" s="56"/>
    </row>
    <row r="201" spans="1:14" s="57" customFormat="1" ht="20.25">
      <c r="A201" s="53">
        <v>276</v>
      </c>
      <c r="B201" s="53">
        <v>12</v>
      </c>
      <c r="C201" s="58"/>
      <c r="D201" s="58">
        <v>44292</v>
      </c>
      <c r="E201" s="53" t="s">
        <v>27</v>
      </c>
      <c r="F201" s="53">
        <v>1</v>
      </c>
      <c r="G201" s="53">
        <v>9072</v>
      </c>
      <c r="H201" s="53">
        <v>6</v>
      </c>
      <c r="I201" s="53" t="s">
        <v>12</v>
      </c>
      <c r="J201" s="55">
        <v>8.9</v>
      </c>
      <c r="K201" s="55">
        <v>8.8800000000000008</v>
      </c>
      <c r="L201" s="54">
        <v>1</v>
      </c>
      <c r="M201" s="54"/>
      <c r="N201" s="56"/>
    </row>
    <row r="202" spans="1:14" s="57" customFormat="1" ht="20.25">
      <c r="A202" s="53">
        <v>262</v>
      </c>
      <c r="B202" s="53">
        <v>12</v>
      </c>
      <c r="C202" s="58"/>
      <c r="D202" s="58">
        <v>44292</v>
      </c>
      <c r="E202" s="53" t="s">
        <v>27</v>
      </c>
      <c r="F202" s="53">
        <v>1</v>
      </c>
      <c r="G202" s="53">
        <v>9072</v>
      </c>
      <c r="H202" s="53">
        <v>7</v>
      </c>
      <c r="I202" s="53" t="s">
        <v>12</v>
      </c>
      <c r="J202" s="55">
        <v>8.14</v>
      </c>
      <c r="K202" s="55">
        <v>8.1</v>
      </c>
      <c r="L202" s="54">
        <v>1</v>
      </c>
      <c r="M202" s="54"/>
      <c r="N202" s="56"/>
    </row>
    <row r="203" spans="1:14" s="10" customFormat="1" ht="20.25">
      <c r="A203" s="53">
        <v>278</v>
      </c>
      <c r="B203" s="53">
        <v>12</v>
      </c>
      <c r="C203" s="58"/>
      <c r="D203" s="58">
        <v>44292</v>
      </c>
      <c r="E203" s="53" t="s">
        <v>27</v>
      </c>
      <c r="F203" s="53">
        <v>1</v>
      </c>
      <c r="G203" s="53">
        <v>9074</v>
      </c>
      <c r="H203" s="53">
        <v>2</v>
      </c>
      <c r="I203" s="53" t="s">
        <v>12</v>
      </c>
      <c r="J203" s="55">
        <v>8.1</v>
      </c>
      <c r="K203" s="55">
        <v>8.06</v>
      </c>
      <c r="L203" s="54">
        <v>1</v>
      </c>
      <c r="M203" s="54" t="s">
        <v>13</v>
      </c>
      <c r="N203" s="56"/>
    </row>
    <row r="204" spans="1:14" s="10" customFormat="1" ht="20.25">
      <c r="A204" s="53">
        <v>282</v>
      </c>
      <c r="B204" s="53">
        <v>12</v>
      </c>
      <c r="C204" s="58"/>
      <c r="D204" s="58">
        <v>44292</v>
      </c>
      <c r="E204" s="53" t="s">
        <v>27</v>
      </c>
      <c r="F204" s="53">
        <v>1</v>
      </c>
      <c r="G204" s="53">
        <v>9074</v>
      </c>
      <c r="H204" s="53">
        <v>8</v>
      </c>
      <c r="I204" s="53" t="s">
        <v>14</v>
      </c>
      <c r="J204" s="55">
        <v>8.74</v>
      </c>
      <c r="K204" s="55">
        <v>8.6999999999999993</v>
      </c>
      <c r="L204" s="54">
        <v>1</v>
      </c>
      <c r="M204" s="54" t="s">
        <v>13</v>
      </c>
      <c r="N204" s="56"/>
    </row>
    <row r="205" spans="1:14" s="10" customFormat="1" ht="20.25">
      <c r="A205" s="53">
        <v>283</v>
      </c>
      <c r="B205" s="53">
        <v>12</v>
      </c>
      <c r="C205" s="58"/>
      <c r="D205" s="58">
        <v>44299</v>
      </c>
      <c r="E205" s="53" t="s">
        <v>27</v>
      </c>
      <c r="F205" s="53">
        <v>1</v>
      </c>
      <c r="G205" s="53">
        <v>9076</v>
      </c>
      <c r="H205" s="53">
        <v>6</v>
      </c>
      <c r="I205" s="53" t="s">
        <v>12</v>
      </c>
      <c r="J205" s="55">
        <v>8.7799999999999994</v>
      </c>
      <c r="K205" s="55">
        <v>8.74</v>
      </c>
      <c r="L205" s="54">
        <v>1</v>
      </c>
      <c r="M205" s="54"/>
      <c r="N205" s="56"/>
    </row>
    <row r="206" spans="1:14" s="57" customFormat="1" ht="20.25">
      <c r="A206" s="53">
        <v>284</v>
      </c>
      <c r="B206" s="53">
        <v>12</v>
      </c>
      <c r="C206" s="58"/>
      <c r="D206" s="58">
        <v>44299</v>
      </c>
      <c r="E206" s="53" t="s">
        <v>27</v>
      </c>
      <c r="F206" s="53">
        <v>1</v>
      </c>
      <c r="G206" s="53">
        <v>9077</v>
      </c>
      <c r="H206" s="53">
        <v>3</v>
      </c>
      <c r="I206" s="53" t="s">
        <v>14</v>
      </c>
      <c r="J206" s="55">
        <v>9.66</v>
      </c>
      <c r="K206" s="55">
        <v>9.64</v>
      </c>
      <c r="L206" s="54">
        <v>1</v>
      </c>
      <c r="M206" s="54"/>
      <c r="N206" s="56"/>
    </row>
    <row r="207" spans="1:14" s="57" customFormat="1" ht="20.25">
      <c r="A207" s="53">
        <v>285</v>
      </c>
      <c r="B207" s="53">
        <v>12</v>
      </c>
      <c r="C207" s="58"/>
      <c r="D207" s="58">
        <v>44288</v>
      </c>
      <c r="E207" s="53" t="s">
        <v>27</v>
      </c>
      <c r="F207" s="53">
        <v>1</v>
      </c>
      <c r="G207" s="53">
        <v>9078</v>
      </c>
      <c r="H207" s="53">
        <v>9</v>
      </c>
      <c r="I207" s="53" t="s">
        <v>12</v>
      </c>
      <c r="J207" s="55">
        <v>8.26</v>
      </c>
      <c r="K207" s="55">
        <v>8.2200000000000006</v>
      </c>
      <c r="L207" s="54">
        <v>1</v>
      </c>
      <c r="M207" s="54"/>
      <c r="N207" s="56"/>
    </row>
    <row r="208" spans="1:14" s="10" customFormat="1" ht="20.25">
      <c r="A208" s="53">
        <v>286</v>
      </c>
      <c r="B208" s="53">
        <v>12</v>
      </c>
      <c r="C208" s="58"/>
      <c r="D208" s="58">
        <v>44288</v>
      </c>
      <c r="E208" s="53" t="s">
        <v>27</v>
      </c>
      <c r="F208" s="53">
        <v>1</v>
      </c>
      <c r="G208" s="53">
        <v>9078</v>
      </c>
      <c r="H208" s="53">
        <v>10</v>
      </c>
      <c r="I208" s="53" t="s">
        <v>14</v>
      </c>
      <c r="J208" s="55">
        <v>8.75</v>
      </c>
      <c r="K208" s="55">
        <v>8.7100000000000009</v>
      </c>
      <c r="L208" s="54">
        <v>1</v>
      </c>
      <c r="M208" s="54" t="s">
        <v>13</v>
      </c>
      <c r="N208" s="56"/>
    </row>
    <row r="209" spans="1:14" s="57" customFormat="1" ht="20.25">
      <c r="A209" s="53">
        <v>287</v>
      </c>
      <c r="B209" s="53">
        <v>12</v>
      </c>
      <c r="C209" s="58"/>
      <c r="D209" s="58">
        <v>44299</v>
      </c>
      <c r="E209" s="53" t="s">
        <v>27</v>
      </c>
      <c r="F209" s="53">
        <v>1</v>
      </c>
      <c r="G209" s="53">
        <v>9079</v>
      </c>
      <c r="H209" s="53">
        <v>7</v>
      </c>
      <c r="I209" s="53" t="s">
        <v>14</v>
      </c>
      <c r="J209" s="55">
        <v>12.54</v>
      </c>
      <c r="K209" s="55">
        <v>12.5</v>
      </c>
      <c r="L209" s="54">
        <v>1</v>
      </c>
      <c r="M209" s="54"/>
      <c r="N209" s="56"/>
    </row>
    <row r="210" spans="1:14" s="10" customFormat="1" ht="20.25">
      <c r="A210" s="53">
        <v>288</v>
      </c>
      <c r="B210" s="53">
        <v>12</v>
      </c>
      <c r="C210" s="58"/>
      <c r="D210" s="58">
        <v>44295</v>
      </c>
      <c r="E210" s="53" t="s">
        <v>27</v>
      </c>
      <c r="F210" s="53">
        <v>2</v>
      </c>
      <c r="G210" s="53">
        <v>9079</v>
      </c>
      <c r="H210" s="53">
        <v>8</v>
      </c>
      <c r="I210" s="53" t="s">
        <v>14</v>
      </c>
      <c r="J210" s="55">
        <v>12.54</v>
      </c>
      <c r="K210" s="55">
        <v>12.5</v>
      </c>
      <c r="L210" s="54" t="s">
        <v>13</v>
      </c>
      <c r="M210" s="54">
        <v>1</v>
      </c>
      <c r="N210" s="56"/>
    </row>
    <row r="211" spans="1:14" s="10" customFormat="1" ht="20.25">
      <c r="A211" s="53">
        <v>289</v>
      </c>
      <c r="B211" s="53">
        <v>12</v>
      </c>
      <c r="C211" s="58"/>
      <c r="D211" s="58">
        <v>44306</v>
      </c>
      <c r="E211" s="53" t="s">
        <v>27</v>
      </c>
      <c r="F211" s="53">
        <v>1</v>
      </c>
      <c r="G211" s="53">
        <v>9079</v>
      </c>
      <c r="H211" s="53">
        <v>8</v>
      </c>
      <c r="I211" s="53" t="s">
        <v>14</v>
      </c>
      <c r="J211" s="55">
        <v>12.54</v>
      </c>
      <c r="K211" s="55">
        <v>12.5</v>
      </c>
      <c r="L211" s="54"/>
      <c r="M211" s="54">
        <v>1</v>
      </c>
      <c r="N211" s="56"/>
    </row>
    <row r="212" spans="1:14" s="10" customFormat="1" ht="20.25">
      <c r="A212" s="53">
        <v>290</v>
      </c>
      <c r="B212" s="53">
        <v>12</v>
      </c>
      <c r="C212" s="58"/>
      <c r="D212" s="58">
        <v>44306</v>
      </c>
      <c r="E212" s="53" t="s">
        <v>27</v>
      </c>
      <c r="F212" s="53">
        <v>1</v>
      </c>
      <c r="G212" s="53">
        <v>9079</v>
      </c>
      <c r="H212" s="53">
        <v>8</v>
      </c>
      <c r="I212" s="53" t="s">
        <v>12</v>
      </c>
      <c r="J212" s="55">
        <v>12.5</v>
      </c>
      <c r="K212" s="55">
        <v>12.45</v>
      </c>
      <c r="L212" s="54" t="s">
        <v>13</v>
      </c>
      <c r="M212" s="54">
        <v>1</v>
      </c>
      <c r="N212" s="56"/>
    </row>
    <row r="213" spans="1:14" s="10" customFormat="1" ht="20.25">
      <c r="A213" s="53">
        <v>291</v>
      </c>
      <c r="B213" s="53">
        <v>12</v>
      </c>
      <c r="C213" s="58"/>
      <c r="D213" s="58">
        <v>44295</v>
      </c>
      <c r="E213" s="53" t="s">
        <v>27</v>
      </c>
      <c r="F213" s="53">
        <v>2</v>
      </c>
      <c r="G213" s="53">
        <v>9079</v>
      </c>
      <c r="H213" s="53">
        <v>10</v>
      </c>
      <c r="I213" s="53" t="s">
        <v>14</v>
      </c>
      <c r="J213" s="55">
        <v>12.54</v>
      </c>
      <c r="K213" s="55">
        <v>12.5</v>
      </c>
      <c r="L213" s="54"/>
      <c r="M213" s="54">
        <v>1</v>
      </c>
      <c r="N213" s="56"/>
    </row>
    <row r="214" spans="1:14" s="57" customFormat="1" ht="20.25">
      <c r="A214" s="53">
        <v>292</v>
      </c>
      <c r="B214" s="53">
        <v>12</v>
      </c>
      <c r="C214" s="58"/>
      <c r="D214" s="58">
        <v>44295</v>
      </c>
      <c r="E214" s="53" t="s">
        <v>27</v>
      </c>
      <c r="F214" s="53">
        <v>2</v>
      </c>
      <c r="G214" s="53">
        <v>9079</v>
      </c>
      <c r="H214" s="53">
        <v>10</v>
      </c>
      <c r="I214" s="53" t="s">
        <v>12</v>
      </c>
      <c r="J214" s="55">
        <v>12.54</v>
      </c>
      <c r="K214" s="55">
        <v>12.5</v>
      </c>
      <c r="L214" s="54"/>
      <c r="M214" s="54">
        <v>1</v>
      </c>
      <c r="N214" s="56"/>
    </row>
    <row r="215" spans="1:14" s="57" customFormat="1" ht="20.25">
      <c r="A215" s="53">
        <v>277</v>
      </c>
      <c r="B215" s="53">
        <v>12</v>
      </c>
      <c r="C215" s="58"/>
      <c r="D215" s="58">
        <v>44306</v>
      </c>
      <c r="E215" s="53" t="s">
        <v>27</v>
      </c>
      <c r="F215" s="53">
        <v>1</v>
      </c>
      <c r="G215" s="53">
        <v>9079</v>
      </c>
      <c r="H215" s="53">
        <v>10</v>
      </c>
      <c r="I215" s="53" t="s">
        <v>14</v>
      </c>
      <c r="J215" s="55">
        <v>12.54</v>
      </c>
      <c r="K215" s="55">
        <v>12.5</v>
      </c>
      <c r="L215" s="54"/>
      <c r="M215" s="54">
        <v>1</v>
      </c>
      <c r="N215" s="56"/>
    </row>
    <row r="216" spans="1:14" s="10" customFormat="1" ht="20.25">
      <c r="A216" s="53">
        <v>294</v>
      </c>
      <c r="B216" s="53">
        <v>12</v>
      </c>
      <c r="C216" s="58"/>
      <c r="D216" s="58">
        <v>44306</v>
      </c>
      <c r="E216" s="53" t="s">
        <v>27</v>
      </c>
      <c r="F216" s="53">
        <v>1</v>
      </c>
      <c r="G216" s="53">
        <v>9079</v>
      </c>
      <c r="H216" s="53">
        <v>10</v>
      </c>
      <c r="I216" s="53" t="s">
        <v>12</v>
      </c>
      <c r="J216" s="59">
        <v>12.54</v>
      </c>
      <c r="K216" s="55">
        <v>12.5</v>
      </c>
      <c r="L216" s="59"/>
      <c r="M216" s="54">
        <v>1</v>
      </c>
      <c r="N216" s="59"/>
    </row>
    <row r="217" spans="1:14" s="57" customFormat="1" ht="20.25">
      <c r="A217" s="53">
        <v>297</v>
      </c>
      <c r="B217" s="53">
        <v>12</v>
      </c>
      <c r="C217" s="58"/>
      <c r="D217" s="58">
        <v>44295</v>
      </c>
      <c r="E217" s="53" t="s">
        <v>27</v>
      </c>
      <c r="F217" s="53">
        <v>1</v>
      </c>
      <c r="G217" s="53">
        <v>9081</v>
      </c>
      <c r="H217" s="53">
        <v>7</v>
      </c>
      <c r="I217" s="53" t="s">
        <v>12</v>
      </c>
      <c r="J217" s="55">
        <v>8.57</v>
      </c>
      <c r="K217" s="55">
        <v>8.5399999999999991</v>
      </c>
      <c r="L217" s="54">
        <v>1</v>
      </c>
      <c r="M217" s="54"/>
      <c r="N217" s="56"/>
    </row>
    <row r="218" spans="1:14" s="10" customFormat="1" ht="20.25">
      <c r="A218" s="53">
        <v>298</v>
      </c>
      <c r="B218" s="53">
        <v>12</v>
      </c>
      <c r="C218" s="58"/>
      <c r="D218" s="58">
        <v>44295</v>
      </c>
      <c r="E218" s="53" t="s">
        <v>27</v>
      </c>
      <c r="F218" s="53">
        <v>1</v>
      </c>
      <c r="G218" s="53">
        <v>9081</v>
      </c>
      <c r="H218" s="53">
        <v>8</v>
      </c>
      <c r="I218" s="53" t="s">
        <v>14</v>
      </c>
      <c r="J218" s="55">
        <v>8.19</v>
      </c>
      <c r="K218" s="55">
        <v>8.16</v>
      </c>
      <c r="L218" s="54">
        <v>1</v>
      </c>
      <c r="M218" s="54"/>
      <c r="N218" s="56"/>
    </row>
    <row r="219" spans="1:14" s="1" customFormat="1" ht="18" customHeight="1">
      <c r="A219" s="66" t="s">
        <v>54</v>
      </c>
      <c r="B219" s="67"/>
      <c r="C219" s="67"/>
      <c r="D219" s="67"/>
      <c r="E219" s="67"/>
      <c r="F219" s="67"/>
      <c r="G219" s="67"/>
      <c r="H219" s="67"/>
      <c r="I219" s="67"/>
      <c r="J219" s="67"/>
      <c r="K219" s="67"/>
      <c r="L219" s="67"/>
      <c r="M219" s="67"/>
      <c r="N219" s="67"/>
    </row>
    <row r="220" spans="1:14" s="57" customFormat="1" ht="20.25">
      <c r="A220" s="61">
        <v>301</v>
      </c>
      <c r="B220" s="53">
        <v>13</v>
      </c>
      <c r="C220" s="58"/>
      <c r="D220" s="60">
        <v>44292</v>
      </c>
      <c r="E220" s="53" t="s">
        <v>27</v>
      </c>
      <c r="F220" s="53">
        <v>2</v>
      </c>
      <c r="G220" s="53">
        <v>9084</v>
      </c>
      <c r="H220" s="53">
        <v>10</v>
      </c>
      <c r="I220" s="53" t="s">
        <v>12</v>
      </c>
      <c r="J220" s="55">
        <v>8.1999999999999993</v>
      </c>
      <c r="K220" s="55">
        <v>8.18</v>
      </c>
      <c r="L220" s="54">
        <v>1</v>
      </c>
      <c r="M220" s="54"/>
      <c r="N220" s="56"/>
    </row>
    <row r="221" spans="1:14" s="57" customFormat="1" ht="20.25">
      <c r="A221" s="61">
        <v>303</v>
      </c>
      <c r="B221" s="53">
        <v>13</v>
      </c>
      <c r="C221" s="58"/>
      <c r="D221" s="58" t="s">
        <v>64</v>
      </c>
      <c r="E221" s="53" t="s">
        <v>27</v>
      </c>
      <c r="F221" s="53">
        <v>2</v>
      </c>
      <c r="G221" s="53">
        <v>9085</v>
      </c>
      <c r="H221" s="53">
        <v>8</v>
      </c>
      <c r="I221" s="53" t="s">
        <v>12</v>
      </c>
      <c r="J221" s="55">
        <v>8.1999999999999993</v>
      </c>
      <c r="K221" s="55">
        <v>8.17</v>
      </c>
      <c r="L221" s="54">
        <v>1</v>
      </c>
      <c r="M221" s="54"/>
      <c r="N221" s="56"/>
    </row>
    <row r="222" spans="1:14" s="10" customFormat="1" ht="20.25">
      <c r="A222" s="61">
        <v>305</v>
      </c>
      <c r="B222" s="53">
        <v>13</v>
      </c>
      <c r="C222" s="58"/>
      <c r="D222" s="58">
        <v>44292</v>
      </c>
      <c r="E222" s="53" t="s">
        <v>27</v>
      </c>
      <c r="F222" s="53">
        <v>2</v>
      </c>
      <c r="G222" s="53">
        <v>9086</v>
      </c>
      <c r="H222" s="53">
        <v>10</v>
      </c>
      <c r="I222" s="53" t="s">
        <v>14</v>
      </c>
      <c r="J222" s="55">
        <v>8.3000000000000007</v>
      </c>
      <c r="K222" s="55">
        <v>8.27</v>
      </c>
      <c r="L222" s="54">
        <v>1</v>
      </c>
      <c r="M222" s="54"/>
      <c r="N222" s="56"/>
    </row>
    <row r="223" spans="1:14" s="57" customFormat="1" ht="20.25">
      <c r="A223" s="61">
        <v>306</v>
      </c>
      <c r="B223" s="53">
        <v>13</v>
      </c>
      <c r="C223" s="58"/>
      <c r="D223" s="58">
        <v>44301</v>
      </c>
      <c r="E223" s="53" t="s">
        <v>27</v>
      </c>
      <c r="F223" s="53">
        <v>2</v>
      </c>
      <c r="G223" s="53">
        <v>9087</v>
      </c>
      <c r="H223" s="53">
        <v>9</v>
      </c>
      <c r="I223" s="53" t="s">
        <v>14</v>
      </c>
      <c r="J223" s="55">
        <v>8.2200000000000006</v>
      </c>
      <c r="K223" s="55">
        <v>8.19</v>
      </c>
      <c r="L223" s="54">
        <v>1</v>
      </c>
      <c r="M223" s="54"/>
      <c r="N223" s="56"/>
    </row>
    <row r="224" spans="1:14" s="10" customFormat="1" ht="20.25">
      <c r="A224" s="61">
        <v>307</v>
      </c>
      <c r="B224" s="53">
        <v>13</v>
      </c>
      <c r="C224" s="58"/>
      <c r="D224" s="58">
        <v>44301</v>
      </c>
      <c r="E224" s="53" t="s">
        <v>27</v>
      </c>
      <c r="F224" s="53">
        <v>1</v>
      </c>
      <c r="G224" s="53">
        <v>9087</v>
      </c>
      <c r="H224" s="53">
        <v>10</v>
      </c>
      <c r="I224" s="53" t="s">
        <v>14</v>
      </c>
      <c r="J224" s="55">
        <v>8.23</v>
      </c>
      <c r="K224" s="55">
        <v>8.1999999999999993</v>
      </c>
      <c r="L224" s="54">
        <v>1</v>
      </c>
      <c r="M224" s="54"/>
      <c r="N224" s="56"/>
    </row>
    <row r="225" spans="1:14" s="57" customFormat="1" ht="20.25">
      <c r="A225" s="53">
        <v>293</v>
      </c>
      <c r="B225" s="53">
        <v>13</v>
      </c>
      <c r="C225" s="58"/>
      <c r="D225" s="58" t="s">
        <v>64</v>
      </c>
      <c r="E225" s="53" t="s">
        <v>27</v>
      </c>
      <c r="F225" s="53">
        <v>2</v>
      </c>
      <c r="G225" s="53">
        <v>9088</v>
      </c>
      <c r="H225" s="53">
        <v>5</v>
      </c>
      <c r="I225" s="53" t="s">
        <v>14</v>
      </c>
      <c r="J225" s="55">
        <v>8.52</v>
      </c>
      <c r="K225" s="55">
        <v>8.49</v>
      </c>
      <c r="L225" s="54">
        <v>1</v>
      </c>
      <c r="M225" s="54"/>
      <c r="N225" s="56"/>
    </row>
    <row r="226" spans="1:14" s="57" customFormat="1" ht="20.25">
      <c r="A226" s="61">
        <v>309</v>
      </c>
      <c r="B226" s="53">
        <v>13</v>
      </c>
      <c r="C226" s="58"/>
      <c r="D226" s="58">
        <v>44316</v>
      </c>
      <c r="E226" s="53" t="s">
        <v>60</v>
      </c>
      <c r="F226" s="53">
        <v>2</v>
      </c>
      <c r="G226" s="53">
        <v>9089</v>
      </c>
      <c r="H226" s="53">
        <v>10</v>
      </c>
      <c r="I226" s="53" t="s">
        <v>14</v>
      </c>
      <c r="J226" s="55">
        <v>8.23</v>
      </c>
      <c r="K226" s="55">
        <v>8.1999999999999993</v>
      </c>
      <c r="L226" s="54">
        <v>1</v>
      </c>
      <c r="M226" s="54"/>
      <c r="N226" s="56"/>
    </row>
    <row r="227" spans="1:14" s="10" customFormat="1" ht="20.25" customHeight="1">
      <c r="A227" s="61">
        <v>311</v>
      </c>
      <c r="B227" s="53">
        <v>13</v>
      </c>
      <c r="C227" s="58"/>
      <c r="D227" s="58">
        <v>44306</v>
      </c>
      <c r="E227" s="53" t="s">
        <v>28</v>
      </c>
      <c r="F227" s="53">
        <v>2</v>
      </c>
      <c r="G227" s="53">
        <v>9091</v>
      </c>
      <c r="H227" s="53">
        <v>5</v>
      </c>
      <c r="I227" s="53" t="s">
        <v>14</v>
      </c>
      <c r="J227" s="55">
        <v>12.54</v>
      </c>
      <c r="K227" s="55">
        <v>12.5</v>
      </c>
      <c r="L227" s="54" t="s">
        <v>13</v>
      </c>
      <c r="M227" s="54">
        <v>1</v>
      </c>
      <c r="N227" s="56"/>
    </row>
    <row r="228" spans="1:14" s="10" customFormat="1" ht="20.25">
      <c r="A228" s="61">
        <v>313</v>
      </c>
      <c r="B228" s="53">
        <v>13</v>
      </c>
      <c r="C228" s="58"/>
      <c r="D228" s="58">
        <v>44306</v>
      </c>
      <c r="E228" s="53" t="s">
        <v>28</v>
      </c>
      <c r="F228" s="53">
        <v>2</v>
      </c>
      <c r="G228" s="53">
        <v>9091</v>
      </c>
      <c r="H228" s="53">
        <v>7</v>
      </c>
      <c r="I228" s="53" t="s">
        <v>14</v>
      </c>
      <c r="J228" s="55">
        <v>12.54</v>
      </c>
      <c r="K228" s="55">
        <v>12.5</v>
      </c>
      <c r="L228" s="54" t="s">
        <v>13</v>
      </c>
      <c r="M228" s="54">
        <v>1</v>
      </c>
      <c r="N228" s="56"/>
    </row>
    <row r="229" spans="1:14" s="10" customFormat="1" ht="20.25">
      <c r="A229" s="61">
        <v>314</v>
      </c>
      <c r="B229" s="53">
        <v>13</v>
      </c>
      <c r="C229" s="58"/>
      <c r="D229" s="58">
        <v>44306</v>
      </c>
      <c r="E229" s="53" t="s">
        <v>28</v>
      </c>
      <c r="F229" s="53">
        <v>2</v>
      </c>
      <c r="G229" s="53">
        <v>9091</v>
      </c>
      <c r="H229" s="53">
        <v>7</v>
      </c>
      <c r="I229" s="53" t="s">
        <v>12</v>
      </c>
      <c r="J229" s="55">
        <v>12.54</v>
      </c>
      <c r="K229" s="55">
        <v>12.5</v>
      </c>
      <c r="L229" s="54" t="s">
        <v>13</v>
      </c>
      <c r="M229" s="54">
        <v>1</v>
      </c>
      <c r="N229" s="56"/>
    </row>
    <row r="230" spans="1:14" s="10" customFormat="1" ht="20.25">
      <c r="A230" s="61">
        <v>315</v>
      </c>
      <c r="B230" s="53">
        <v>13</v>
      </c>
      <c r="C230" s="58"/>
      <c r="D230" s="58">
        <v>44293</v>
      </c>
      <c r="E230" s="53" t="s">
        <v>28</v>
      </c>
      <c r="F230" s="53">
        <v>1</v>
      </c>
      <c r="G230" s="53">
        <v>9091</v>
      </c>
      <c r="H230" s="53">
        <v>8</v>
      </c>
      <c r="I230" s="53" t="s">
        <v>14</v>
      </c>
      <c r="J230" s="55">
        <v>12.54</v>
      </c>
      <c r="K230" s="55">
        <v>12.52</v>
      </c>
      <c r="L230" s="54" t="s">
        <v>13</v>
      </c>
      <c r="M230" s="54">
        <v>1</v>
      </c>
      <c r="N230" s="56"/>
    </row>
    <row r="231" spans="1:14" s="10" customFormat="1" ht="20.25">
      <c r="A231" s="61">
        <v>316</v>
      </c>
      <c r="B231" s="53">
        <v>13</v>
      </c>
      <c r="C231" s="58"/>
      <c r="D231" s="58">
        <v>44293</v>
      </c>
      <c r="E231" s="53" t="s">
        <v>28</v>
      </c>
      <c r="F231" s="53">
        <v>1</v>
      </c>
      <c r="G231" s="53">
        <v>9091</v>
      </c>
      <c r="H231" s="53">
        <v>8</v>
      </c>
      <c r="I231" s="53" t="s">
        <v>12</v>
      </c>
      <c r="J231" s="55">
        <v>12.56</v>
      </c>
      <c r="K231" s="55">
        <v>12.54</v>
      </c>
      <c r="L231" s="54" t="s">
        <v>13</v>
      </c>
      <c r="M231" s="54">
        <v>1</v>
      </c>
      <c r="N231" s="56"/>
    </row>
    <row r="232" spans="1:14" s="10" customFormat="1" ht="20.25">
      <c r="A232" s="61">
        <v>317</v>
      </c>
      <c r="B232" s="53">
        <v>13</v>
      </c>
      <c r="C232" s="58"/>
      <c r="D232" s="58">
        <v>44293</v>
      </c>
      <c r="E232" s="53" t="s">
        <v>28</v>
      </c>
      <c r="F232" s="53">
        <v>1</v>
      </c>
      <c r="G232" s="53">
        <v>9091</v>
      </c>
      <c r="H232" s="53">
        <v>10</v>
      </c>
      <c r="I232" s="53" t="s">
        <v>14</v>
      </c>
      <c r="J232" s="55">
        <v>8.02</v>
      </c>
      <c r="K232" s="55">
        <v>8</v>
      </c>
      <c r="L232" s="54">
        <v>1</v>
      </c>
      <c r="M232" s="54"/>
      <c r="N232" s="56"/>
    </row>
    <row r="233" spans="1:14" s="10" customFormat="1" ht="20.25">
      <c r="A233" s="61">
        <v>318</v>
      </c>
      <c r="B233" s="53">
        <v>13</v>
      </c>
      <c r="C233" s="58"/>
      <c r="D233" s="58">
        <v>44311</v>
      </c>
      <c r="E233" s="53" t="s">
        <v>28</v>
      </c>
      <c r="F233" s="53">
        <v>2</v>
      </c>
      <c r="G233" s="53">
        <v>9092</v>
      </c>
      <c r="H233" s="53">
        <v>2</v>
      </c>
      <c r="I233" s="53" t="s">
        <v>12</v>
      </c>
      <c r="J233" s="55">
        <v>8.26</v>
      </c>
      <c r="K233" s="55">
        <v>8.23</v>
      </c>
      <c r="L233" s="54">
        <v>1</v>
      </c>
      <c r="M233" s="54"/>
      <c r="N233" s="56"/>
    </row>
    <row r="234" spans="1:14" s="1" customFormat="1" ht="18" customHeight="1">
      <c r="A234" s="66" t="s">
        <v>55</v>
      </c>
      <c r="B234" s="67"/>
      <c r="C234" s="67"/>
      <c r="D234" s="67"/>
      <c r="E234" s="67"/>
      <c r="F234" s="67"/>
      <c r="G234" s="67"/>
      <c r="H234" s="67"/>
      <c r="I234" s="67"/>
      <c r="J234" s="67"/>
      <c r="K234" s="67"/>
      <c r="L234" s="67"/>
      <c r="M234" s="67"/>
      <c r="N234" s="67"/>
    </row>
    <row r="235" spans="1:14" s="57" customFormat="1" ht="20.25">
      <c r="A235" s="53">
        <v>319</v>
      </c>
      <c r="B235" s="53">
        <v>14</v>
      </c>
      <c r="C235" s="58"/>
      <c r="D235" s="58">
        <v>44306</v>
      </c>
      <c r="E235" s="53" t="s">
        <v>29</v>
      </c>
      <c r="F235" s="53">
        <v>2</v>
      </c>
      <c r="G235" s="53">
        <v>9093</v>
      </c>
      <c r="H235" s="53">
        <v>4</v>
      </c>
      <c r="I235" s="53" t="s">
        <v>14</v>
      </c>
      <c r="J235" s="55">
        <v>8.18</v>
      </c>
      <c r="K235" s="55">
        <v>8.15</v>
      </c>
      <c r="L235" s="54">
        <v>1</v>
      </c>
      <c r="M235" s="54"/>
      <c r="N235" s="56"/>
    </row>
    <row r="236" spans="1:14" s="57" customFormat="1" ht="20.25">
      <c r="A236" s="53">
        <v>321</v>
      </c>
      <c r="B236" s="53">
        <v>14</v>
      </c>
      <c r="C236" s="58"/>
      <c r="D236" s="58">
        <v>44306</v>
      </c>
      <c r="E236" s="53" t="s">
        <v>29</v>
      </c>
      <c r="F236" s="53">
        <v>1</v>
      </c>
      <c r="G236" s="53">
        <v>9094</v>
      </c>
      <c r="H236" s="53">
        <v>3</v>
      </c>
      <c r="I236" s="53" t="s">
        <v>14</v>
      </c>
      <c r="J236" s="55">
        <v>10.73</v>
      </c>
      <c r="K236" s="55">
        <v>10.7</v>
      </c>
      <c r="L236" s="54">
        <v>1</v>
      </c>
      <c r="M236" s="54"/>
      <c r="N236" s="56"/>
    </row>
    <row r="237" spans="1:14" s="57" customFormat="1" ht="20.25">
      <c r="A237" s="53">
        <v>322</v>
      </c>
      <c r="B237" s="53">
        <v>14</v>
      </c>
      <c r="C237" s="58"/>
      <c r="D237" s="58">
        <v>44306</v>
      </c>
      <c r="E237" s="53" t="s">
        <v>29</v>
      </c>
      <c r="F237" s="53">
        <v>1</v>
      </c>
      <c r="G237" s="53">
        <v>9094</v>
      </c>
      <c r="H237" s="53">
        <v>5</v>
      </c>
      <c r="I237" s="53" t="s">
        <v>12</v>
      </c>
      <c r="J237" s="55">
        <v>12.53</v>
      </c>
      <c r="K237" s="55">
        <v>12.5</v>
      </c>
      <c r="L237" s="54">
        <v>1</v>
      </c>
      <c r="M237" s="54"/>
      <c r="N237" s="56"/>
    </row>
    <row r="238" spans="1:14" s="57" customFormat="1" ht="20.25">
      <c r="A238" s="61">
        <v>308</v>
      </c>
      <c r="B238" s="53">
        <v>14</v>
      </c>
      <c r="C238" s="58"/>
      <c r="D238" s="58">
        <v>44306</v>
      </c>
      <c r="E238" s="53" t="s">
        <v>29</v>
      </c>
      <c r="F238" s="53">
        <v>1</v>
      </c>
      <c r="G238" s="53">
        <v>9095</v>
      </c>
      <c r="H238" s="53">
        <v>1</v>
      </c>
      <c r="I238" s="53" t="s">
        <v>12</v>
      </c>
      <c r="J238" s="55">
        <v>12.57</v>
      </c>
      <c r="K238" s="55">
        <v>12.54</v>
      </c>
      <c r="L238" s="54">
        <v>1</v>
      </c>
      <c r="M238" s="54"/>
      <c r="N238" s="56"/>
    </row>
    <row r="239" spans="1:14" s="57" customFormat="1" ht="20.25">
      <c r="A239" s="53">
        <v>324</v>
      </c>
      <c r="B239" s="53">
        <v>14</v>
      </c>
      <c r="C239" s="58"/>
      <c r="D239" s="58">
        <v>44306</v>
      </c>
      <c r="E239" s="53" t="s">
        <v>29</v>
      </c>
      <c r="F239" s="53">
        <v>1</v>
      </c>
      <c r="G239" s="53">
        <v>9095</v>
      </c>
      <c r="H239" s="53">
        <v>5</v>
      </c>
      <c r="I239" s="53" t="s">
        <v>14</v>
      </c>
      <c r="J239" s="55">
        <v>8.2799999999999994</v>
      </c>
      <c r="K239" s="55">
        <v>8.25</v>
      </c>
      <c r="L239" s="54">
        <v>1</v>
      </c>
      <c r="M239" s="54"/>
      <c r="N239" s="56"/>
    </row>
    <row r="240" spans="1:14" s="57" customFormat="1" ht="20.25">
      <c r="A240" s="53">
        <v>326</v>
      </c>
      <c r="B240" s="53">
        <v>14</v>
      </c>
      <c r="C240" s="58"/>
      <c r="D240" s="58">
        <v>44316</v>
      </c>
      <c r="E240" s="53" t="s">
        <v>29</v>
      </c>
      <c r="F240" s="53">
        <v>1</v>
      </c>
      <c r="G240" s="53">
        <v>9096</v>
      </c>
      <c r="H240" s="53">
        <v>7</v>
      </c>
      <c r="I240" s="53" t="s">
        <v>14</v>
      </c>
      <c r="J240" s="55">
        <v>8.34</v>
      </c>
      <c r="K240" s="55">
        <v>8.31</v>
      </c>
      <c r="L240" s="54">
        <v>1</v>
      </c>
      <c r="M240" s="54"/>
      <c r="N240" s="56"/>
    </row>
    <row r="241" spans="1:14" s="57" customFormat="1" ht="20.25">
      <c r="A241" s="53">
        <v>331</v>
      </c>
      <c r="B241" s="53">
        <v>14</v>
      </c>
      <c r="C241" s="58"/>
      <c r="D241" s="58">
        <v>44316</v>
      </c>
      <c r="E241" s="53" t="s">
        <v>29</v>
      </c>
      <c r="F241" s="53">
        <v>1</v>
      </c>
      <c r="G241" s="53">
        <v>9100</v>
      </c>
      <c r="H241" s="53">
        <v>8</v>
      </c>
      <c r="I241" s="53" t="s">
        <v>12</v>
      </c>
      <c r="J241" s="55">
        <v>8.09</v>
      </c>
      <c r="K241" s="55">
        <v>8.06</v>
      </c>
      <c r="L241" s="54">
        <v>1</v>
      </c>
      <c r="M241" s="54"/>
      <c r="N241" s="56"/>
    </row>
    <row r="242" spans="1:14" s="57" customFormat="1" ht="20.25">
      <c r="A242" s="53">
        <v>332</v>
      </c>
      <c r="B242" s="53">
        <v>14</v>
      </c>
      <c r="C242" s="58"/>
      <c r="D242" s="58">
        <v>44316</v>
      </c>
      <c r="E242" s="53" t="s">
        <v>29</v>
      </c>
      <c r="F242" s="53">
        <v>1</v>
      </c>
      <c r="G242" s="53">
        <v>9101</v>
      </c>
      <c r="H242" s="53">
        <v>1</v>
      </c>
      <c r="I242" s="53" t="s">
        <v>14</v>
      </c>
      <c r="J242" s="55">
        <v>8.1</v>
      </c>
      <c r="K242" s="55">
        <v>8.08</v>
      </c>
      <c r="L242" s="54">
        <v>1</v>
      </c>
      <c r="M242" s="54"/>
      <c r="N242" s="56"/>
    </row>
    <row r="243" spans="1:14" s="57" customFormat="1" ht="20.25">
      <c r="A243" s="53">
        <v>333</v>
      </c>
      <c r="B243" s="53">
        <v>14</v>
      </c>
      <c r="C243" s="58"/>
      <c r="D243" s="58">
        <v>44316</v>
      </c>
      <c r="E243" s="53" t="s">
        <v>29</v>
      </c>
      <c r="F243" s="53">
        <v>1</v>
      </c>
      <c r="G243" s="53">
        <v>9106</v>
      </c>
      <c r="H243" s="53">
        <v>6</v>
      </c>
      <c r="I243" s="53" t="s">
        <v>12</v>
      </c>
      <c r="J243" s="55">
        <v>10.02</v>
      </c>
      <c r="K243" s="55">
        <v>9.99</v>
      </c>
      <c r="L243" s="54">
        <v>1</v>
      </c>
      <c r="M243" s="54" t="s">
        <v>13</v>
      </c>
      <c r="N243" s="56"/>
    </row>
    <row r="250" spans="1:14" ht="25.5">
      <c r="A250" s="68" t="s">
        <v>57</v>
      </c>
      <c r="B250" s="68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68"/>
      <c r="N250" s="68"/>
    </row>
  </sheetData>
  <autoFilter ref="A18:N243">
    <filterColumn colId="2"/>
  </autoFilter>
  <sortState ref="A286:AD301">
    <sortCondition ref="G286:G301"/>
    <sortCondition ref="H286:H301"/>
  </sortState>
  <mergeCells count="24">
    <mergeCell ref="L16:N16"/>
    <mergeCell ref="B16:B17"/>
    <mergeCell ref="A14:N14"/>
    <mergeCell ref="A16:A17"/>
    <mergeCell ref="C16:C17"/>
    <mergeCell ref="E16:E17"/>
    <mergeCell ref="D16:D17"/>
    <mergeCell ref="F16:F17"/>
    <mergeCell ref="G16:H16"/>
    <mergeCell ref="I16:I17"/>
    <mergeCell ref="K16:K17"/>
    <mergeCell ref="A19:N19"/>
    <mergeCell ref="A38:N38"/>
    <mergeCell ref="A54:N54"/>
    <mergeCell ref="A96:N96"/>
    <mergeCell ref="A112:N112"/>
    <mergeCell ref="A219:N219"/>
    <mergeCell ref="A234:N234"/>
    <mergeCell ref="A250:N250"/>
    <mergeCell ref="A159:N159"/>
    <mergeCell ref="A169:N169"/>
    <mergeCell ref="A179:N179"/>
    <mergeCell ref="A187:N187"/>
    <mergeCell ref="A199:N199"/>
  </mergeCells>
  <pageMargins left="0.27559055118110237" right="0.15748031496062992" top="0.74803149606299213" bottom="0.74803149606299213" header="0.31496062992125984" footer="0.31496062992125984"/>
  <pageSetup paperSize="9" scale="71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0">
    <pageSetUpPr fitToPage="1"/>
  </sheetPr>
  <dimension ref="A1:P18"/>
  <sheetViews>
    <sheetView workbookViewId="0">
      <selection activeCell="G19" sqref="G19"/>
    </sheetView>
  </sheetViews>
  <sheetFormatPr defaultColWidth="8.7109375" defaultRowHeight="15.75"/>
  <cols>
    <col min="1" max="1" width="11.28515625" style="14" bestFit="1" customWidth="1"/>
    <col min="2" max="2" width="10.28515625" style="14" bestFit="1" customWidth="1"/>
    <col min="3" max="3" width="18" style="14" customWidth="1"/>
    <col min="4" max="16" width="8.7109375" style="14"/>
    <col min="17" max="16384" width="8.7109375" style="13"/>
  </cols>
  <sheetData>
    <row r="1" spans="1:16" ht="20.25">
      <c r="A1" s="75" t="s">
        <v>63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</row>
    <row r="2" spans="1:16" ht="21" thickBot="1">
      <c r="A2" s="75" t="str">
        <f>"по состоянию на "&amp;TEXT(A8,"ДД.ММ.ГГГГ")</f>
        <v>по состоянию на 02.04.2021</v>
      </c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</row>
    <row r="3" spans="1:16">
      <c r="A3" s="76" t="s">
        <v>36</v>
      </c>
      <c r="B3" s="77"/>
      <c r="C3" s="78"/>
      <c r="D3" s="82" t="s">
        <v>35</v>
      </c>
      <c r="E3" s="83"/>
      <c r="F3" s="83"/>
      <c r="G3" s="83"/>
      <c r="H3" s="83"/>
      <c r="I3" s="83"/>
      <c r="J3" s="83"/>
      <c r="K3" s="83"/>
      <c r="L3" s="83"/>
      <c r="M3" s="83"/>
      <c r="N3" s="83"/>
      <c r="O3" s="84"/>
      <c r="P3" s="85" t="s">
        <v>37</v>
      </c>
    </row>
    <row r="4" spans="1:16" ht="16.5" thickBot="1">
      <c r="A4" s="79"/>
      <c r="B4" s="80"/>
      <c r="C4" s="81"/>
      <c r="D4" s="15">
        <v>1</v>
      </c>
      <c r="E4" s="16">
        <v>2</v>
      </c>
      <c r="F4" s="16">
        <v>3</v>
      </c>
      <c r="G4" s="16">
        <v>5</v>
      </c>
      <c r="H4" s="16">
        <v>6</v>
      </c>
      <c r="I4" s="16">
        <v>7</v>
      </c>
      <c r="J4" s="16">
        <v>9</v>
      </c>
      <c r="K4" s="16">
        <v>10</v>
      </c>
      <c r="L4" s="16">
        <v>11</v>
      </c>
      <c r="M4" s="16">
        <v>12</v>
      </c>
      <c r="N4" s="16">
        <v>13</v>
      </c>
      <c r="O4" s="17">
        <v>14</v>
      </c>
      <c r="P4" s="86"/>
    </row>
    <row r="5" spans="1:16">
      <c r="A5" s="87" t="s">
        <v>38</v>
      </c>
      <c r="B5" s="88"/>
      <c r="C5" s="35" t="s">
        <v>40</v>
      </c>
      <c r="D5" s="38">
        <v>13</v>
      </c>
      <c r="E5" s="34">
        <v>10</v>
      </c>
      <c r="F5" s="34">
        <v>0</v>
      </c>
      <c r="G5" s="34">
        <v>3</v>
      </c>
      <c r="H5" s="34">
        <v>18</v>
      </c>
      <c r="I5" s="34">
        <v>0</v>
      </c>
      <c r="J5" s="34">
        <v>19</v>
      </c>
      <c r="K5" s="34">
        <v>12</v>
      </c>
      <c r="L5" s="34">
        <v>9</v>
      </c>
      <c r="M5" s="34">
        <v>7</v>
      </c>
      <c r="N5" s="34">
        <v>7</v>
      </c>
      <c r="O5" s="35">
        <v>0</v>
      </c>
      <c r="P5" s="36">
        <f>SUM(D5:O5)</f>
        <v>98</v>
      </c>
    </row>
    <row r="6" spans="1:16">
      <c r="A6" s="89"/>
      <c r="B6" s="90"/>
      <c r="C6" s="21" t="s">
        <v>41</v>
      </c>
      <c r="D6" s="39">
        <v>14</v>
      </c>
      <c r="E6" s="18">
        <v>12</v>
      </c>
      <c r="F6" s="18">
        <v>56</v>
      </c>
      <c r="G6" s="18">
        <v>13</v>
      </c>
      <c r="H6" s="18">
        <v>38</v>
      </c>
      <c r="I6" s="18">
        <v>36</v>
      </c>
      <c r="J6" s="18">
        <v>6</v>
      </c>
      <c r="K6" s="18">
        <v>8</v>
      </c>
      <c r="L6" s="18">
        <v>7</v>
      </c>
      <c r="M6" s="18">
        <v>19</v>
      </c>
      <c r="N6" s="18">
        <v>11</v>
      </c>
      <c r="O6" s="21">
        <v>15</v>
      </c>
      <c r="P6" s="43">
        <f t="shared" ref="P6:P7" si="0">SUM(D6:O6)</f>
        <v>235</v>
      </c>
    </row>
    <row r="7" spans="1:16" ht="16.5" thickBot="1">
      <c r="A7" s="91"/>
      <c r="B7" s="92"/>
      <c r="C7" s="22" t="s">
        <v>42</v>
      </c>
      <c r="D7" s="27">
        <f>D5+D6</f>
        <v>27</v>
      </c>
      <c r="E7" s="16">
        <f t="shared" ref="E7:O7" si="1">E5+E6</f>
        <v>22</v>
      </c>
      <c r="F7" s="16">
        <f t="shared" si="1"/>
        <v>56</v>
      </c>
      <c r="G7" s="16">
        <f t="shared" si="1"/>
        <v>16</v>
      </c>
      <c r="H7" s="16">
        <f t="shared" si="1"/>
        <v>56</v>
      </c>
      <c r="I7" s="16">
        <f t="shared" si="1"/>
        <v>36</v>
      </c>
      <c r="J7" s="16">
        <f t="shared" si="1"/>
        <v>25</v>
      </c>
      <c r="K7" s="16">
        <f t="shared" si="1"/>
        <v>20</v>
      </c>
      <c r="L7" s="16">
        <f t="shared" si="1"/>
        <v>16</v>
      </c>
      <c r="M7" s="16">
        <f t="shared" si="1"/>
        <v>26</v>
      </c>
      <c r="N7" s="16">
        <f t="shared" si="1"/>
        <v>18</v>
      </c>
      <c r="O7" s="17">
        <f t="shared" si="1"/>
        <v>15</v>
      </c>
      <c r="P7" s="37">
        <f t="shared" si="0"/>
        <v>333</v>
      </c>
    </row>
    <row r="8" spans="1:16">
      <c r="A8" s="94">
        <v>44288</v>
      </c>
      <c r="B8" s="97" t="s">
        <v>43</v>
      </c>
      <c r="C8" s="48" t="s">
        <v>40</v>
      </c>
      <c r="D8" s="28">
        <v>4</v>
      </c>
      <c r="E8" s="31">
        <v>6</v>
      </c>
      <c r="F8" s="31">
        <v>0</v>
      </c>
      <c r="G8" s="31">
        <v>0</v>
      </c>
      <c r="H8" s="31">
        <v>4</v>
      </c>
      <c r="I8" s="31">
        <v>0</v>
      </c>
      <c r="J8" s="31">
        <v>13</v>
      </c>
      <c r="K8" s="31">
        <v>6</v>
      </c>
      <c r="L8" s="31">
        <v>3</v>
      </c>
      <c r="M8" s="31">
        <v>0</v>
      </c>
      <c r="N8" s="31">
        <v>2</v>
      </c>
      <c r="O8" s="24">
        <v>0</v>
      </c>
      <c r="P8" s="44">
        <f>SUM(D8:O8)</f>
        <v>38</v>
      </c>
    </row>
    <row r="9" spans="1:16">
      <c r="A9" s="95"/>
      <c r="B9" s="95"/>
      <c r="C9" s="41" t="s">
        <v>41</v>
      </c>
      <c r="D9" s="29">
        <v>5</v>
      </c>
      <c r="E9" s="32">
        <v>1</v>
      </c>
      <c r="F9" s="32">
        <v>15</v>
      </c>
      <c r="G9" s="32">
        <v>1</v>
      </c>
      <c r="H9" s="32">
        <v>6</v>
      </c>
      <c r="I9" s="32">
        <v>27</v>
      </c>
      <c r="J9" s="32">
        <v>3</v>
      </c>
      <c r="K9" s="32">
        <v>7</v>
      </c>
      <c r="L9" s="32">
        <v>2</v>
      </c>
      <c r="M9" s="32">
        <v>7</v>
      </c>
      <c r="N9" s="32">
        <v>2</v>
      </c>
      <c r="O9" s="25">
        <v>6</v>
      </c>
      <c r="P9" s="45">
        <f t="shared" ref="P9" si="2">SUM(D9:O9)</f>
        <v>82</v>
      </c>
    </row>
    <row r="10" spans="1:16" ht="16.5" thickBot="1">
      <c r="A10" s="96"/>
      <c r="B10" s="96"/>
      <c r="C10" s="42" t="s">
        <v>42</v>
      </c>
      <c r="D10" s="30">
        <f>SUM(D8:D9)</f>
        <v>9</v>
      </c>
      <c r="E10" s="33">
        <f t="shared" ref="E10:P10" si="3">SUM(E8:E9)</f>
        <v>7</v>
      </c>
      <c r="F10" s="33">
        <f t="shared" si="3"/>
        <v>15</v>
      </c>
      <c r="G10" s="33">
        <f t="shared" si="3"/>
        <v>1</v>
      </c>
      <c r="H10" s="33">
        <f t="shared" si="3"/>
        <v>10</v>
      </c>
      <c r="I10" s="33">
        <f t="shared" si="3"/>
        <v>27</v>
      </c>
      <c r="J10" s="33">
        <f t="shared" si="3"/>
        <v>16</v>
      </c>
      <c r="K10" s="33">
        <f t="shared" si="3"/>
        <v>13</v>
      </c>
      <c r="L10" s="33">
        <f t="shared" si="3"/>
        <v>5</v>
      </c>
      <c r="M10" s="33">
        <f t="shared" si="3"/>
        <v>7</v>
      </c>
      <c r="N10" s="33">
        <f t="shared" si="3"/>
        <v>4</v>
      </c>
      <c r="O10" s="26">
        <f t="shared" si="3"/>
        <v>6</v>
      </c>
      <c r="P10" s="46">
        <f t="shared" si="3"/>
        <v>120</v>
      </c>
    </row>
    <row r="11" spans="1:16">
      <c r="A11" s="94">
        <v>44288</v>
      </c>
      <c r="B11" s="97" t="s">
        <v>39</v>
      </c>
      <c r="C11" s="49" t="s">
        <v>40</v>
      </c>
      <c r="D11" s="23">
        <f>D5-D8</f>
        <v>9</v>
      </c>
      <c r="E11" s="23">
        <f t="shared" ref="E11:O11" si="4">E5-E8</f>
        <v>4</v>
      </c>
      <c r="F11" s="23">
        <f t="shared" si="4"/>
        <v>0</v>
      </c>
      <c r="G11" s="23">
        <f t="shared" si="4"/>
        <v>3</v>
      </c>
      <c r="H11" s="23">
        <f t="shared" si="4"/>
        <v>14</v>
      </c>
      <c r="I11" s="23">
        <f t="shared" si="4"/>
        <v>0</v>
      </c>
      <c r="J11" s="23">
        <f t="shared" si="4"/>
        <v>6</v>
      </c>
      <c r="K11" s="23">
        <f t="shared" si="4"/>
        <v>6</v>
      </c>
      <c r="L11" s="23">
        <f t="shared" si="4"/>
        <v>6</v>
      </c>
      <c r="M11" s="23">
        <f t="shared" si="4"/>
        <v>7</v>
      </c>
      <c r="N11" s="23">
        <f t="shared" si="4"/>
        <v>5</v>
      </c>
      <c r="O11" s="40">
        <f t="shared" si="4"/>
        <v>0</v>
      </c>
      <c r="P11" s="47">
        <f t="shared" ref="P11" si="5">P5-P8</f>
        <v>60</v>
      </c>
    </row>
    <row r="12" spans="1:16">
      <c r="A12" s="95"/>
      <c r="B12" s="95"/>
      <c r="C12" s="50" t="s">
        <v>41</v>
      </c>
      <c r="D12" s="19">
        <f>D6-D9</f>
        <v>9</v>
      </c>
      <c r="E12" s="19">
        <f t="shared" ref="E12:O12" si="6">E6-E9</f>
        <v>11</v>
      </c>
      <c r="F12" s="19">
        <f t="shared" si="6"/>
        <v>41</v>
      </c>
      <c r="G12" s="19">
        <f t="shared" si="6"/>
        <v>12</v>
      </c>
      <c r="H12" s="19">
        <f t="shared" si="6"/>
        <v>32</v>
      </c>
      <c r="I12" s="19">
        <f t="shared" si="6"/>
        <v>9</v>
      </c>
      <c r="J12" s="19">
        <f t="shared" si="6"/>
        <v>3</v>
      </c>
      <c r="K12" s="19">
        <f t="shared" si="6"/>
        <v>1</v>
      </c>
      <c r="L12" s="19">
        <f t="shared" si="6"/>
        <v>5</v>
      </c>
      <c r="M12" s="19">
        <f t="shared" si="6"/>
        <v>12</v>
      </c>
      <c r="N12" s="19">
        <f t="shared" si="6"/>
        <v>9</v>
      </c>
      <c r="O12" s="41">
        <f t="shared" si="6"/>
        <v>9</v>
      </c>
      <c r="P12" s="45">
        <f t="shared" ref="P12" si="7">P6-P9</f>
        <v>153</v>
      </c>
    </row>
    <row r="13" spans="1:16" ht="16.5" thickBot="1">
      <c r="A13" s="96"/>
      <c r="B13" s="96"/>
      <c r="C13" s="51" t="s">
        <v>42</v>
      </c>
      <c r="D13" s="20">
        <f>D7-D10</f>
        <v>18</v>
      </c>
      <c r="E13" s="20">
        <f t="shared" ref="E13:O13" si="8">E7-E10</f>
        <v>15</v>
      </c>
      <c r="F13" s="20">
        <f t="shared" si="8"/>
        <v>41</v>
      </c>
      <c r="G13" s="20">
        <f t="shared" si="8"/>
        <v>15</v>
      </c>
      <c r="H13" s="20">
        <f t="shared" si="8"/>
        <v>46</v>
      </c>
      <c r="I13" s="20">
        <f t="shared" si="8"/>
        <v>9</v>
      </c>
      <c r="J13" s="20">
        <f t="shared" si="8"/>
        <v>9</v>
      </c>
      <c r="K13" s="20">
        <f t="shared" si="8"/>
        <v>7</v>
      </c>
      <c r="L13" s="20">
        <f t="shared" si="8"/>
        <v>11</v>
      </c>
      <c r="M13" s="20">
        <f t="shared" si="8"/>
        <v>19</v>
      </c>
      <c r="N13" s="20">
        <f t="shared" si="8"/>
        <v>14</v>
      </c>
      <c r="O13" s="42">
        <f t="shared" si="8"/>
        <v>9</v>
      </c>
      <c r="P13" s="46">
        <f>P7-P10</f>
        <v>213</v>
      </c>
    </row>
    <row r="18" spans="1:16" ht="20.25">
      <c r="A18" s="93" t="s">
        <v>58</v>
      </c>
      <c r="B18" s="93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</row>
  </sheetData>
  <mergeCells count="11">
    <mergeCell ref="A18:P18"/>
    <mergeCell ref="A11:A13"/>
    <mergeCell ref="B11:B13"/>
    <mergeCell ref="A8:A10"/>
    <mergeCell ref="B8:B10"/>
    <mergeCell ref="A1:P1"/>
    <mergeCell ref="A3:C4"/>
    <mergeCell ref="D3:O3"/>
    <mergeCell ref="P3:P4"/>
    <mergeCell ref="A5:B7"/>
    <mergeCell ref="A2:P2"/>
  </mergeCells>
  <pageMargins left="0.19685039370078741" right="0.19685039370078741" top="0.78740157480314965" bottom="0.19685039370078741" header="0" footer="0"/>
  <pageSetup paperSize="9" scale="94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Замена рельсов</vt:lpstr>
      <vt:lpstr>Сводная смена рубок</vt:lpstr>
      <vt:lpstr>'Замена рельсов'!Заголовки_для_печати</vt:lpstr>
      <vt:lpstr>'Замена рельсов'!Область_печати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uvarovpv</dc:creator>
  <cp:lastModifiedBy>PCH9_SizovIS</cp:lastModifiedBy>
  <cp:lastPrinted>2021-04-01T22:09:27Z</cp:lastPrinted>
  <dcterms:created xsi:type="dcterms:W3CDTF">2018-01-30T10:07:39Z</dcterms:created>
  <dcterms:modified xsi:type="dcterms:W3CDTF">2021-04-02T01:29:57Z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Отчетная форма по изъятию удлиненных рельсов (МОСКВА).xlsx</vt:lpwstr>
  </property>
</Properties>
</file>